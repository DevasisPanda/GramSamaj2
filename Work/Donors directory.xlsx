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 activeTab="2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calcPr calcId="124519"/>
</workbook>
</file>

<file path=xl/calcChain.xml><?xml version="1.0" encoding="utf-8"?>
<calcChain xmlns="http://schemas.openxmlformats.org/spreadsheetml/2006/main">
  <c r="I14" i="3"/>
  <c r="H14"/>
  <c r="G14"/>
  <c r="F14"/>
  <c r="I13"/>
  <c r="H13"/>
  <c r="G12"/>
  <c r="F12"/>
  <c r="H11"/>
  <c r="G11"/>
  <c r="F11"/>
  <c r="I10"/>
  <c r="H10"/>
  <c r="G10"/>
  <c r="F10"/>
  <c r="I9"/>
  <c r="H9"/>
  <c r="G9"/>
  <c r="I8"/>
  <c r="H8"/>
  <c r="H7"/>
  <c r="G7"/>
  <c r="F7"/>
  <c r="E16" i="1"/>
  <c r="J8" i="2"/>
  <c r="E22"/>
  <c r="E21"/>
  <c r="E20"/>
  <c r="K8"/>
  <c r="K16" s="1"/>
  <c r="K20" s="1"/>
  <c r="K21" s="1"/>
  <c r="K22" s="1"/>
</calcChain>
</file>

<file path=xl/sharedStrings.xml><?xml version="1.0" encoding="utf-8"?>
<sst xmlns="http://schemas.openxmlformats.org/spreadsheetml/2006/main" count="82" uniqueCount="54">
  <si>
    <t>S. No.</t>
  </si>
  <si>
    <t>Date</t>
  </si>
  <si>
    <t>Name of donor</t>
  </si>
  <si>
    <t>Amount</t>
  </si>
  <si>
    <t>Whatsaap no.</t>
  </si>
  <si>
    <t>Financial year</t>
  </si>
  <si>
    <t>1999 - 2000</t>
  </si>
  <si>
    <t>Total receipt</t>
  </si>
  <si>
    <t>Total expenditure</t>
  </si>
  <si>
    <t>Balance at the end of financial year</t>
  </si>
  <si>
    <t>Cash in hand</t>
  </si>
  <si>
    <t>Depodit in bank</t>
  </si>
  <si>
    <t>20-21</t>
  </si>
  <si>
    <t>21-22</t>
  </si>
  <si>
    <t>22-23</t>
  </si>
  <si>
    <t>23-24</t>
  </si>
  <si>
    <t>24-25</t>
  </si>
  <si>
    <t>25-26</t>
  </si>
  <si>
    <t>26-27</t>
  </si>
  <si>
    <t xml:space="preserve"> </t>
  </si>
  <si>
    <t>Cash</t>
  </si>
  <si>
    <t>Through Bank</t>
  </si>
  <si>
    <t>Deposited in Bank</t>
  </si>
  <si>
    <t>Withdrawn from Bank</t>
  </si>
  <si>
    <t>Expenditure</t>
  </si>
  <si>
    <t>Balance</t>
  </si>
  <si>
    <t>Purpose</t>
  </si>
  <si>
    <t>Cash in Bank</t>
  </si>
  <si>
    <t>B/F</t>
  </si>
  <si>
    <t>3.4.26</t>
  </si>
  <si>
    <t>Directors meet</t>
  </si>
  <si>
    <t>4.4.26</t>
  </si>
  <si>
    <t>5.4.26</t>
  </si>
  <si>
    <t>6.4.26</t>
  </si>
  <si>
    <t>22.4.26</t>
  </si>
  <si>
    <t>Earth Day</t>
  </si>
  <si>
    <t>24.4.26</t>
  </si>
  <si>
    <t>Panchayat Diwas</t>
  </si>
  <si>
    <t>10.5.26</t>
  </si>
  <si>
    <t>11.5.26</t>
  </si>
  <si>
    <t>12.5.26</t>
  </si>
  <si>
    <t>28.5.26</t>
  </si>
  <si>
    <t>Website</t>
  </si>
  <si>
    <t>Statement of account period - 1st April 2026 - till date</t>
  </si>
  <si>
    <t>K. C. Tripathi</t>
  </si>
  <si>
    <t>Neera Tripathi</t>
  </si>
  <si>
    <t>Pranshu Tripathi</t>
  </si>
  <si>
    <t>Atul Verma</t>
  </si>
  <si>
    <t>Gaurav Pandey</t>
  </si>
  <si>
    <t>Dhananjay Tripathi</t>
  </si>
  <si>
    <t>Anand Singh</t>
  </si>
  <si>
    <t>V. K. Awasthi</t>
  </si>
  <si>
    <t>Bhavna Saxena</t>
  </si>
  <si>
    <t>Bhavana Saxena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</si>
</sst>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vertical="center" wrapText="1"/>
    </xf>
    <xf numFmtId="0" fontId="0" fillId="0" borderId="3" xfId="0" applyBorder="1"/>
    <xf numFmtId="0" fontId="0" fillId="0" borderId="4" xfId="0" applyBorder="1"/>
    <xf numFmtId="0" fontId="0" fillId="2" borderId="5" xfId="0" applyFill="1" applyBorder="1"/>
    <xf numFmtId="0" fontId="0" fillId="2" borderId="1" xfId="0" applyFill="1" applyBorder="1" applyAlignment="1">
      <alignment wrapText="1"/>
    </xf>
    <xf numFmtId="0" fontId="0" fillId="2" borderId="1" xfId="0" applyFill="1" applyBorder="1"/>
    <xf numFmtId="0" fontId="0" fillId="2" borderId="6" xfId="0" applyFill="1" applyBorder="1"/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c/OneDrive/Desktop/Working/Final%20AIRD%20accounts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19-20"/>
      <sheetName val="20-21"/>
      <sheetName val="21-22"/>
      <sheetName val="22-23"/>
      <sheetName val="23-24"/>
      <sheetName val="24-25"/>
      <sheetName val="25-26"/>
      <sheetName val="26-27"/>
    </sheetNames>
    <sheetDataSet>
      <sheetData sheetId="0">
        <row r="21">
          <cell r="H21">
            <v>140</v>
          </cell>
        </row>
        <row r="22">
          <cell r="E22">
            <v>11800</v>
          </cell>
          <cell r="G22">
            <v>11660</v>
          </cell>
        </row>
      </sheetData>
      <sheetData sheetId="1">
        <row r="20">
          <cell r="J20">
            <v>460</v>
          </cell>
        </row>
        <row r="21">
          <cell r="K21">
            <v>11143.07</v>
          </cell>
        </row>
      </sheetData>
      <sheetData sheetId="2">
        <row r="28">
          <cell r="K28">
            <v>1350</v>
          </cell>
          <cell r="L28">
            <v>16494.07</v>
          </cell>
        </row>
        <row r="29">
          <cell r="J29">
            <v>7959</v>
          </cell>
        </row>
      </sheetData>
      <sheetData sheetId="3">
        <row r="43">
          <cell r="K43">
            <v>2570</v>
          </cell>
          <cell r="L43">
            <v>4026.0699999999997</v>
          </cell>
        </row>
        <row r="44">
          <cell r="J44">
            <v>69160</v>
          </cell>
        </row>
        <row r="46">
          <cell r="F46">
            <v>57681</v>
          </cell>
        </row>
      </sheetData>
      <sheetData sheetId="4">
        <row r="29">
          <cell r="L29">
            <v>470</v>
          </cell>
        </row>
        <row r="30">
          <cell r="K30">
            <v>26700</v>
          </cell>
        </row>
        <row r="32">
          <cell r="F32">
            <v>29200</v>
          </cell>
        </row>
      </sheetData>
      <sheetData sheetId="5">
        <row r="31">
          <cell r="J31">
            <v>20950</v>
          </cell>
        </row>
        <row r="34">
          <cell r="F34">
            <v>23605</v>
          </cell>
        </row>
      </sheetData>
      <sheetData sheetId="6">
        <row r="20">
          <cell r="L20">
            <v>1520</v>
          </cell>
          <cell r="M20">
            <v>1677</v>
          </cell>
        </row>
      </sheetData>
      <sheetData sheetId="7">
        <row r="27">
          <cell r="L27">
            <v>940</v>
          </cell>
          <cell r="M27">
            <v>32868.9</v>
          </cell>
        </row>
        <row r="28">
          <cell r="K28">
            <v>3580</v>
          </cell>
        </row>
        <row r="30">
          <cell r="G30">
            <v>33191.9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4:F21"/>
  <sheetViews>
    <sheetView topLeftCell="A5" zoomScale="85" zoomScaleNormal="85" workbookViewId="0">
      <selection activeCell="K23" sqref="K23"/>
    </sheetView>
  </sheetViews>
  <sheetFormatPr defaultRowHeight="15"/>
  <cols>
    <col min="4" max="4" width="19.7109375" customWidth="1"/>
    <col min="5" max="5" width="15" customWidth="1"/>
    <col min="6" max="6" width="17.85546875" customWidth="1"/>
  </cols>
  <sheetData>
    <row r="4" spans="2:6" s="4" customFormat="1">
      <c r="B4" s="2" t="s">
        <v>0</v>
      </c>
      <c r="C4" s="2" t="s">
        <v>1</v>
      </c>
      <c r="D4" s="2" t="s">
        <v>2</v>
      </c>
      <c r="E4" s="2" t="s">
        <v>3</v>
      </c>
      <c r="F4" s="3" t="s">
        <v>4</v>
      </c>
    </row>
    <row r="5" spans="2:6">
      <c r="B5" s="1"/>
      <c r="C5" s="1"/>
      <c r="D5" s="1"/>
      <c r="E5" s="1"/>
      <c r="F5" s="1"/>
    </row>
    <row r="6" spans="2:6" ht="15" customHeight="1">
      <c r="B6" s="1"/>
      <c r="C6" s="10" t="s">
        <v>29</v>
      </c>
      <c r="D6" s="11" t="s">
        <v>44</v>
      </c>
      <c r="E6" s="12">
        <v>1000</v>
      </c>
      <c r="F6" s="1"/>
    </row>
    <row r="7" spans="2:6">
      <c r="B7" s="1"/>
      <c r="C7" s="10" t="s">
        <v>29</v>
      </c>
      <c r="D7" s="11" t="s">
        <v>45</v>
      </c>
      <c r="E7" s="12">
        <v>4000</v>
      </c>
      <c r="F7" s="1"/>
    </row>
    <row r="8" spans="2:6">
      <c r="B8" s="1"/>
      <c r="C8" s="10" t="s">
        <v>29</v>
      </c>
      <c r="D8" s="11" t="s">
        <v>47</v>
      </c>
      <c r="E8" s="12">
        <v>4000</v>
      </c>
      <c r="F8" s="1"/>
    </row>
    <row r="9" spans="2:6">
      <c r="B9" s="1"/>
      <c r="C9" s="10" t="s">
        <v>29</v>
      </c>
      <c r="D9" s="11" t="s">
        <v>46</v>
      </c>
      <c r="E9" s="12">
        <v>4000</v>
      </c>
      <c r="F9" s="1"/>
    </row>
    <row r="10" spans="2:6">
      <c r="B10" s="1"/>
      <c r="C10" s="10" t="s">
        <v>29</v>
      </c>
      <c r="D10" s="11" t="s">
        <v>48</v>
      </c>
      <c r="E10" s="12">
        <v>1000</v>
      </c>
      <c r="F10" s="1"/>
    </row>
    <row r="11" spans="2:6">
      <c r="B11" s="1"/>
      <c r="C11" s="10" t="s">
        <v>31</v>
      </c>
      <c r="D11" s="11" t="s">
        <v>50</v>
      </c>
      <c r="E11" s="12">
        <v>4000</v>
      </c>
      <c r="F11" s="1"/>
    </row>
    <row r="12" spans="2:6">
      <c r="B12" s="1"/>
      <c r="C12" s="10" t="s">
        <v>31</v>
      </c>
      <c r="D12" s="11" t="s">
        <v>49</v>
      </c>
      <c r="E12" s="12">
        <v>5000</v>
      </c>
      <c r="F12" s="1"/>
    </row>
    <row r="13" spans="2:6">
      <c r="B13" s="1"/>
      <c r="C13" s="10" t="s">
        <v>32</v>
      </c>
      <c r="D13" s="11" t="s">
        <v>51</v>
      </c>
      <c r="E13" s="12">
        <v>3000</v>
      </c>
      <c r="F13" s="1"/>
    </row>
    <row r="14" spans="2:6">
      <c r="B14" s="1"/>
      <c r="C14" s="10" t="s">
        <v>38</v>
      </c>
      <c r="D14" t="s">
        <v>47</v>
      </c>
      <c r="E14" s="12">
        <v>1000</v>
      </c>
      <c r="F14" s="1"/>
    </row>
    <row r="15" spans="2:6">
      <c r="B15" s="1"/>
      <c r="C15" s="10" t="s">
        <v>41</v>
      </c>
      <c r="D15" s="12" t="s">
        <v>52</v>
      </c>
      <c r="E15" s="1">
        <v>6000</v>
      </c>
      <c r="F15" s="1"/>
    </row>
    <row r="16" spans="2:6">
      <c r="B16" s="1"/>
      <c r="C16" s="1"/>
      <c r="D16" s="1"/>
      <c r="E16" s="1">
        <f>SUM(E6:E15)</f>
        <v>33000</v>
      </c>
      <c r="F16" s="1"/>
    </row>
    <row r="17" spans="2:6">
      <c r="B17" s="1"/>
      <c r="C17" s="1"/>
      <c r="D17" s="1"/>
      <c r="E17" s="1"/>
      <c r="F17" s="1"/>
    </row>
    <row r="18" spans="2:6">
      <c r="B18" s="1"/>
      <c r="C18" s="1"/>
      <c r="D18" s="1"/>
      <c r="E18" s="1"/>
      <c r="F18" s="1"/>
    </row>
    <row r="19" spans="2:6">
      <c r="B19" s="1"/>
      <c r="C19" s="1"/>
      <c r="D19" s="1"/>
      <c r="E19" s="1"/>
      <c r="F19" s="1"/>
    </row>
    <row r="20" spans="2:6">
      <c r="B20" s="1"/>
      <c r="C20" s="1"/>
      <c r="D20" s="1"/>
      <c r="E20" s="1"/>
      <c r="F20" s="1"/>
    </row>
    <row r="21" spans="2:6">
      <c r="B21" s="1"/>
      <c r="C21" s="1"/>
      <c r="D21" s="1"/>
      <c r="E21" s="1"/>
      <c r="F2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3:K22"/>
  <sheetViews>
    <sheetView topLeftCell="A11" workbookViewId="0">
      <selection activeCell="M24" sqref="M24"/>
    </sheetView>
  </sheetViews>
  <sheetFormatPr defaultRowHeight="15"/>
  <cols>
    <col min="3" max="3" width="23.28515625" customWidth="1"/>
    <col min="11" max="11" width="11.7109375" customWidth="1"/>
  </cols>
  <sheetData>
    <row r="3" spans="2:11" ht="15.75" thickBot="1"/>
    <row r="4" spans="2:11">
      <c r="B4" s="17" t="s">
        <v>43</v>
      </c>
      <c r="C4" s="18"/>
      <c r="D4" s="18"/>
      <c r="E4" s="18"/>
      <c r="F4" s="18"/>
      <c r="G4" s="18"/>
      <c r="H4" s="18"/>
      <c r="I4" s="18"/>
      <c r="J4" s="18"/>
      <c r="K4" s="19"/>
    </row>
    <row r="5" spans="2:11" ht="15.75">
      <c r="B5" s="20" t="s">
        <v>1</v>
      </c>
      <c r="C5" s="22" t="s">
        <v>19</v>
      </c>
      <c r="D5" s="22" t="s">
        <v>20</v>
      </c>
      <c r="E5" s="24" t="s">
        <v>21</v>
      </c>
      <c r="F5" s="22" t="s">
        <v>22</v>
      </c>
      <c r="G5" s="22" t="s">
        <v>23</v>
      </c>
      <c r="H5" s="22" t="s">
        <v>24</v>
      </c>
      <c r="I5" s="22"/>
      <c r="J5" s="22" t="s">
        <v>25</v>
      </c>
      <c r="K5" s="26"/>
    </row>
    <row r="6" spans="2:11" ht="32.25" thickBot="1">
      <c r="B6" s="21"/>
      <c r="C6" s="23"/>
      <c r="D6" s="23"/>
      <c r="E6" s="25"/>
      <c r="F6" s="23"/>
      <c r="G6" s="23"/>
      <c r="H6" s="5" t="s">
        <v>26</v>
      </c>
      <c r="I6" s="6" t="s">
        <v>3</v>
      </c>
      <c r="J6" s="5" t="s">
        <v>10</v>
      </c>
      <c r="K6" s="7" t="s">
        <v>27</v>
      </c>
    </row>
    <row r="7" spans="2:11">
      <c r="B7" s="15" t="s">
        <v>28</v>
      </c>
      <c r="C7" s="16"/>
      <c r="D7" s="16"/>
      <c r="E7" s="16"/>
      <c r="F7" s="16"/>
      <c r="G7" s="16"/>
      <c r="H7" s="16"/>
      <c r="I7" s="16"/>
      <c r="J7" s="8">
        <v>1520</v>
      </c>
      <c r="K7" s="9">
        <v>1627</v>
      </c>
    </row>
    <row r="8" spans="2:11" ht="30">
      <c r="B8" s="10" t="s">
        <v>29</v>
      </c>
      <c r="C8" s="11" t="s">
        <v>44</v>
      </c>
      <c r="D8" s="12">
        <v>1000</v>
      </c>
      <c r="E8" s="12"/>
      <c r="F8" s="12"/>
      <c r="G8" s="12"/>
      <c r="H8" s="11" t="s">
        <v>30</v>
      </c>
      <c r="I8" s="12">
        <v>1110</v>
      </c>
      <c r="J8" s="1">
        <f>J7-I8</f>
        <v>410</v>
      </c>
      <c r="K8" s="13">
        <f>K7+F8</f>
        <v>1627</v>
      </c>
    </row>
    <row r="9" spans="2:11" ht="30">
      <c r="B9" s="10" t="s">
        <v>29</v>
      </c>
      <c r="C9" s="11" t="s">
        <v>45</v>
      </c>
      <c r="D9" s="12">
        <v>4000</v>
      </c>
      <c r="E9" s="12"/>
      <c r="F9" s="12"/>
      <c r="G9" s="12"/>
      <c r="H9" s="11"/>
      <c r="I9" s="12"/>
      <c r="J9" s="1">
        <v>5410</v>
      </c>
      <c r="K9" s="13">
        <v>1677</v>
      </c>
    </row>
    <row r="10" spans="2:11" ht="30">
      <c r="B10" s="10" t="s">
        <v>29</v>
      </c>
      <c r="C10" s="11" t="s">
        <v>47</v>
      </c>
      <c r="D10" s="12">
        <v>4000</v>
      </c>
      <c r="E10" s="12"/>
      <c r="F10" s="12"/>
      <c r="G10" s="12"/>
      <c r="H10" s="11"/>
      <c r="I10" s="12"/>
      <c r="J10" s="1">
        <v>9410</v>
      </c>
      <c r="K10" s="13">
        <v>1677</v>
      </c>
    </row>
    <row r="11" spans="2:11" ht="30">
      <c r="B11" s="10" t="s">
        <v>29</v>
      </c>
      <c r="C11" s="11" t="s">
        <v>46</v>
      </c>
      <c r="D11" s="12">
        <v>4000</v>
      </c>
      <c r="E11" s="12"/>
      <c r="F11" s="12"/>
      <c r="G11" s="12"/>
      <c r="H11" s="11"/>
      <c r="I11" s="12"/>
      <c r="J11" s="1">
        <v>13410</v>
      </c>
      <c r="K11" s="13">
        <v>1677</v>
      </c>
    </row>
    <row r="12" spans="2:11" ht="30">
      <c r="B12" s="10" t="s">
        <v>29</v>
      </c>
      <c r="C12" s="11" t="s">
        <v>48</v>
      </c>
      <c r="D12" s="12">
        <v>1000</v>
      </c>
      <c r="E12" s="12"/>
      <c r="F12" s="12"/>
      <c r="G12" s="12"/>
      <c r="H12" s="11"/>
      <c r="I12" s="12"/>
      <c r="J12" s="1">
        <v>14410</v>
      </c>
      <c r="K12" s="13">
        <v>1677</v>
      </c>
    </row>
    <row r="13" spans="2:11" ht="30">
      <c r="B13" s="10" t="s">
        <v>31</v>
      </c>
      <c r="C13" s="11" t="s">
        <v>50</v>
      </c>
      <c r="D13" s="12">
        <v>4000</v>
      </c>
      <c r="E13" s="12"/>
      <c r="F13" s="12"/>
      <c r="G13" s="12"/>
      <c r="H13" s="11"/>
      <c r="I13" s="12"/>
      <c r="J13" s="1">
        <v>18410</v>
      </c>
      <c r="K13" s="13">
        <v>1677</v>
      </c>
    </row>
    <row r="14" spans="2:11" ht="45">
      <c r="B14" s="10" t="s">
        <v>31</v>
      </c>
      <c r="C14" s="11" t="s">
        <v>49</v>
      </c>
      <c r="D14" s="12">
        <v>5000</v>
      </c>
      <c r="E14" s="12"/>
      <c r="F14" s="12"/>
      <c r="G14" s="12"/>
      <c r="H14" s="11"/>
      <c r="I14" s="12"/>
      <c r="J14" s="1">
        <v>23410</v>
      </c>
      <c r="K14" s="13">
        <v>1677</v>
      </c>
    </row>
    <row r="15" spans="2:11" ht="30">
      <c r="B15" s="10" t="s">
        <v>32</v>
      </c>
      <c r="C15" s="11" t="s">
        <v>51</v>
      </c>
      <c r="D15" s="12">
        <v>3000</v>
      </c>
      <c r="E15" s="12"/>
      <c r="F15" s="12"/>
      <c r="G15" s="12"/>
      <c r="H15" s="11"/>
      <c r="I15" s="12"/>
      <c r="J15" s="1">
        <v>26410</v>
      </c>
      <c r="K15" s="13">
        <v>1677</v>
      </c>
    </row>
    <row r="16" spans="2:11">
      <c r="B16" s="10" t="s">
        <v>33</v>
      </c>
      <c r="C16" s="11"/>
      <c r="D16" s="12"/>
      <c r="E16" s="12"/>
      <c r="F16" s="12">
        <v>25000</v>
      </c>
      <c r="G16" s="12"/>
      <c r="H16" s="11"/>
      <c r="I16" s="12"/>
      <c r="J16" s="1">
        <v>1410</v>
      </c>
      <c r="K16" s="13">
        <f>K8+F16</f>
        <v>26627</v>
      </c>
    </row>
    <row r="17" spans="2:11" ht="30">
      <c r="B17" s="10" t="s">
        <v>34</v>
      </c>
      <c r="C17" s="11"/>
      <c r="D17" s="12"/>
      <c r="E17" s="12"/>
      <c r="F17" s="12"/>
      <c r="G17" s="12"/>
      <c r="H17" s="11" t="s">
        <v>35</v>
      </c>
      <c r="I17" s="12">
        <v>310</v>
      </c>
      <c r="J17" s="1">
        <v>1100</v>
      </c>
      <c r="K17" s="13"/>
    </row>
    <row r="18" spans="2:11" ht="30">
      <c r="B18" s="10" t="s">
        <v>36</v>
      </c>
      <c r="C18" s="11"/>
      <c r="D18" s="12"/>
      <c r="E18" s="12"/>
      <c r="F18" s="12"/>
      <c r="G18" s="12"/>
      <c r="H18" s="11" t="s">
        <v>37</v>
      </c>
      <c r="I18" s="12">
        <v>540</v>
      </c>
      <c r="J18" s="1">
        <v>560</v>
      </c>
      <c r="K18" s="13"/>
    </row>
    <row r="19" spans="2:11" ht="30">
      <c r="B19" s="10" t="s">
        <v>38</v>
      </c>
      <c r="C19" s="11" t="s">
        <v>47</v>
      </c>
      <c r="D19" s="12">
        <v>1000</v>
      </c>
      <c r="E19" s="12"/>
      <c r="F19" s="12"/>
      <c r="G19" s="12"/>
      <c r="H19" s="11"/>
      <c r="I19" s="12"/>
      <c r="J19" s="1">
        <v>1560</v>
      </c>
      <c r="K19" s="13"/>
    </row>
    <row r="20" spans="2:11">
      <c r="B20" s="10" t="s">
        <v>39</v>
      </c>
      <c r="C20" s="11"/>
      <c r="D20" s="12"/>
      <c r="E20" s="12">
        <f>F20</f>
        <v>95.95</v>
      </c>
      <c r="F20" s="12">
        <v>95.95</v>
      </c>
      <c r="G20" s="12"/>
      <c r="H20" s="11"/>
      <c r="I20" s="12"/>
      <c r="J20" s="1">
        <v>1560</v>
      </c>
      <c r="K20" s="13">
        <f>K16+F20</f>
        <v>26722.95</v>
      </c>
    </row>
    <row r="21" spans="2:11">
      <c r="B21" s="10" t="s">
        <v>40</v>
      </c>
      <c r="C21" s="11"/>
      <c r="D21" s="12"/>
      <c r="E21" s="12">
        <f t="shared" ref="E21:E22" si="0">F21</f>
        <v>95.95</v>
      </c>
      <c r="F21" s="12">
        <v>95.95</v>
      </c>
      <c r="G21" s="12"/>
      <c r="H21" s="11"/>
      <c r="I21" s="12"/>
      <c r="J21" s="1">
        <v>1560</v>
      </c>
      <c r="K21" s="13">
        <f t="shared" ref="K21:K22" si="1">K20+F21</f>
        <v>26818.9</v>
      </c>
    </row>
    <row r="22" spans="2:11" ht="30">
      <c r="B22" s="10" t="s">
        <v>41</v>
      </c>
      <c r="C22" s="11" t="s">
        <v>53</v>
      </c>
      <c r="D22" s="12"/>
      <c r="E22" s="12">
        <f t="shared" si="0"/>
        <v>6000</v>
      </c>
      <c r="F22" s="12">
        <v>6000</v>
      </c>
      <c r="G22" s="12"/>
      <c r="H22" s="11" t="s">
        <v>42</v>
      </c>
      <c r="I22" s="12">
        <v>1000</v>
      </c>
      <c r="J22" s="1">
        <v>560</v>
      </c>
      <c r="K22" s="13">
        <f t="shared" si="1"/>
        <v>32818.9</v>
      </c>
    </row>
  </sheetData>
  <mergeCells count="10">
    <mergeCell ref="B7:I7"/>
    <mergeCell ref="B4:K4"/>
    <mergeCell ref="B5:B6"/>
    <mergeCell ref="C5:C6"/>
    <mergeCell ref="D5:D6"/>
    <mergeCell ref="E5:E6"/>
    <mergeCell ref="F5:F6"/>
    <mergeCell ref="G5:G6"/>
    <mergeCell ref="H5:I5"/>
    <mergeCell ref="J5:K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E5:I14"/>
  <sheetViews>
    <sheetView tabSelected="1" workbookViewId="0">
      <selection activeCell="L19" sqref="L19"/>
    </sheetView>
  </sheetViews>
  <sheetFormatPr defaultRowHeight="15"/>
  <cols>
    <col min="5" max="5" width="13.42578125" customWidth="1"/>
    <col min="6" max="6" width="12" customWidth="1"/>
    <col min="7" max="7" width="13" customWidth="1"/>
    <col min="8" max="8" width="15.140625" customWidth="1"/>
    <col min="9" max="9" width="19" customWidth="1"/>
  </cols>
  <sheetData>
    <row r="5" spans="5:9">
      <c r="E5" s="27" t="s">
        <v>5</v>
      </c>
      <c r="F5" s="27" t="s">
        <v>7</v>
      </c>
      <c r="G5" s="27" t="s">
        <v>8</v>
      </c>
      <c r="H5" s="28" t="s">
        <v>9</v>
      </c>
      <c r="I5" s="28"/>
    </row>
    <row r="6" spans="5:9">
      <c r="E6" s="27"/>
      <c r="F6" s="27"/>
      <c r="G6" s="27"/>
      <c r="H6" s="14" t="s">
        <v>10</v>
      </c>
      <c r="I6" s="14" t="s">
        <v>11</v>
      </c>
    </row>
    <row r="7" spans="5:9">
      <c r="E7" s="2" t="s">
        <v>6</v>
      </c>
      <c r="F7" s="1">
        <f>'[1]19-20'!$E$22</f>
        <v>11800</v>
      </c>
      <c r="G7" s="1">
        <f>'[1]19-20'!$G$22</f>
        <v>11660</v>
      </c>
      <c r="H7" s="1">
        <f>'[1]19-20'!$H$21</f>
        <v>140</v>
      </c>
      <c r="I7" s="1"/>
    </row>
    <row r="8" spans="5:9">
      <c r="E8" s="2" t="s">
        <v>12</v>
      </c>
      <c r="F8" s="1">
        <v>14425</v>
      </c>
      <c r="G8" s="1">
        <v>2821.93</v>
      </c>
      <c r="H8" s="1">
        <f>'[1]20-21'!$J$20</f>
        <v>460</v>
      </c>
      <c r="I8" s="1">
        <f>'[1]20-21'!$K$21</f>
        <v>11143.07</v>
      </c>
    </row>
    <row r="9" spans="5:9">
      <c r="E9" s="2" t="s">
        <v>13</v>
      </c>
      <c r="F9" s="1">
        <v>14660</v>
      </c>
      <c r="G9" s="1">
        <f>'[1]21-22'!$J$29</f>
        <v>7959</v>
      </c>
      <c r="H9" s="1">
        <f>'[1]21-22'!$K$28</f>
        <v>1350</v>
      </c>
      <c r="I9" s="1">
        <f>'[1]21-22'!$L$28</f>
        <v>16494.07</v>
      </c>
    </row>
    <row r="10" spans="5:9">
      <c r="E10" s="2" t="s">
        <v>14</v>
      </c>
      <c r="F10" s="1">
        <f>'[1]22-23'!$F$46</f>
        <v>57681</v>
      </c>
      <c r="G10" s="1">
        <f>'[1]22-23'!$J$44</f>
        <v>69160</v>
      </c>
      <c r="H10" s="1">
        <f>'[1]22-23'!$K$43</f>
        <v>2570</v>
      </c>
      <c r="I10" s="1">
        <f>'[1]22-23'!$L$43</f>
        <v>4026.0699999999997</v>
      </c>
    </row>
    <row r="11" spans="5:9">
      <c r="E11" s="2" t="s">
        <v>15</v>
      </c>
      <c r="F11" s="1">
        <f>'[1]23-24'!$F$32</f>
        <v>29200</v>
      </c>
      <c r="G11" s="1">
        <f>'[1]23-24'!$K$30</f>
        <v>26700</v>
      </c>
      <c r="H11" s="1">
        <f>'[1]23-24'!$L$29</f>
        <v>470</v>
      </c>
      <c r="I11" s="1">
        <v>0</v>
      </c>
    </row>
    <row r="12" spans="5:9">
      <c r="E12" s="2" t="s">
        <v>16</v>
      </c>
      <c r="F12" s="1">
        <f>'[1]24-25'!$F$34</f>
        <v>23605</v>
      </c>
      <c r="G12" s="1">
        <f>'[1]24-25'!$J$31</f>
        <v>20950</v>
      </c>
      <c r="H12" s="1">
        <v>120</v>
      </c>
      <c r="I12" s="1">
        <v>0</v>
      </c>
    </row>
    <row r="13" spans="5:9">
      <c r="E13" s="2" t="s">
        <v>17</v>
      </c>
      <c r="F13" s="1">
        <v>19100</v>
      </c>
      <c r="G13" s="1">
        <v>7700</v>
      </c>
      <c r="H13" s="1">
        <f>'[1]25-26'!$L$20</f>
        <v>1520</v>
      </c>
      <c r="I13" s="1">
        <f>'[1]25-26'!$M$20</f>
        <v>1677</v>
      </c>
    </row>
    <row r="14" spans="5:9">
      <c r="E14" s="2" t="s">
        <v>18</v>
      </c>
      <c r="F14" s="1">
        <f>'[1]26-27'!$G$30</f>
        <v>33191.9</v>
      </c>
      <c r="G14" s="1">
        <f>'[1]26-27'!$K$28</f>
        <v>3580</v>
      </c>
      <c r="H14" s="1">
        <f>'[1]26-27'!$L$27</f>
        <v>940</v>
      </c>
      <c r="I14" s="1">
        <f>'[1]26-27'!$M$27</f>
        <v>32868.9</v>
      </c>
    </row>
  </sheetData>
  <mergeCells count="4">
    <mergeCell ref="E5:E6"/>
    <mergeCell ref="F5:F6"/>
    <mergeCell ref="G5:G6"/>
    <mergeCell ref="H5:I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2026-07-10T08:05:05Z</dcterms:modified>
</cp:coreProperties>
</file>