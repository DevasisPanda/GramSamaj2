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Datewise donners" sheetId="1" r:id="rId1"/>
    <sheet name="Yearwise accounts" sheetId="3" r:id="rId2"/>
  </sheets>
  <externalReferences>
    <externalReference r:id="rId3"/>
  </externalReferences>
  <calcPr calcId="124519"/>
</workbook>
</file>

<file path=xl/calcChain.xml><?xml version="1.0" encoding="utf-8"?>
<calcChain xmlns="http://schemas.openxmlformats.org/spreadsheetml/2006/main">
  <c r="I14" i="3"/>
  <c r="H14"/>
  <c r="G14"/>
  <c r="F14"/>
  <c r="I13"/>
  <c r="H13"/>
  <c r="G12"/>
  <c r="F12"/>
  <c r="H11"/>
  <c r="G11"/>
  <c r="F11"/>
  <c r="I10"/>
  <c r="H10"/>
  <c r="G10"/>
  <c r="F10"/>
  <c r="I9"/>
  <c r="H9"/>
  <c r="G9"/>
  <c r="I8"/>
  <c r="H8"/>
  <c r="H7"/>
  <c r="G7"/>
  <c r="F7"/>
  <c r="E16" i="1"/>
</calcChain>
</file>

<file path=xl/sharedStrings.xml><?xml version="1.0" encoding="utf-8"?>
<sst xmlns="http://schemas.openxmlformats.org/spreadsheetml/2006/main" count="39" uniqueCount="33">
  <si>
    <t>S. No.</t>
  </si>
  <si>
    <t>Date</t>
  </si>
  <si>
    <t>Name of donor</t>
  </si>
  <si>
    <t>Amount</t>
  </si>
  <si>
    <t>Whatsaap no.</t>
  </si>
  <si>
    <t>Financial year</t>
  </si>
  <si>
    <t>1999 - 2000</t>
  </si>
  <si>
    <t>Total receipt</t>
  </si>
  <si>
    <t>Total expenditure</t>
  </si>
  <si>
    <t>Balance at the end of financial year</t>
  </si>
  <si>
    <t>Cash in hand</t>
  </si>
  <si>
    <t>Depodit in bank</t>
  </si>
  <si>
    <t>20-21</t>
  </si>
  <si>
    <t>21-22</t>
  </si>
  <si>
    <t>22-23</t>
  </si>
  <si>
    <t>23-24</t>
  </si>
  <si>
    <t>24-25</t>
  </si>
  <si>
    <t>25-26</t>
  </si>
  <si>
    <t>26-27</t>
  </si>
  <si>
    <t>3.4.26</t>
  </si>
  <si>
    <t>4.4.26</t>
  </si>
  <si>
    <t>5.4.26</t>
  </si>
  <si>
    <t>10.5.26</t>
  </si>
  <si>
    <t>28.5.26</t>
  </si>
  <si>
    <t>K. C. Tripathi</t>
  </si>
  <si>
    <t>Neera Tripathi</t>
  </si>
  <si>
    <t>Pranshu Tripathi</t>
  </si>
  <si>
    <t>Atul Verma</t>
  </si>
  <si>
    <t>Gaurav Pandey</t>
  </si>
  <si>
    <t>Dhananjay Tripathi</t>
  </si>
  <si>
    <t>Anand Singh</t>
  </si>
  <si>
    <t>V. K. Awasthi</t>
  </si>
  <si>
    <t>Bhavna Saxena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</si>
</sst>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OneDrive/Desktop/Working/Final%20AIRD%20accoun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9-20"/>
      <sheetName val="20-21"/>
      <sheetName val="21-22"/>
      <sheetName val="22-23"/>
      <sheetName val="23-24"/>
      <sheetName val="24-25"/>
      <sheetName val="25-26"/>
      <sheetName val="26-27"/>
    </sheetNames>
    <sheetDataSet>
      <sheetData sheetId="0">
        <row r="21">
          <cell r="H21">
            <v>140</v>
          </cell>
        </row>
        <row r="22">
          <cell r="E22">
            <v>11800</v>
          </cell>
          <cell r="G22">
            <v>11660</v>
          </cell>
        </row>
      </sheetData>
      <sheetData sheetId="1">
        <row r="20">
          <cell r="J20">
            <v>460</v>
          </cell>
        </row>
        <row r="21">
          <cell r="K21">
            <v>11143.07</v>
          </cell>
        </row>
      </sheetData>
      <sheetData sheetId="2">
        <row r="28">
          <cell r="K28">
            <v>1350</v>
          </cell>
          <cell r="L28">
            <v>16494.07</v>
          </cell>
        </row>
        <row r="29">
          <cell r="J29">
            <v>7959</v>
          </cell>
        </row>
      </sheetData>
      <sheetData sheetId="3">
        <row r="43">
          <cell r="K43">
            <v>2570</v>
          </cell>
          <cell r="L43">
            <v>4026.0699999999997</v>
          </cell>
        </row>
        <row r="44">
          <cell r="J44">
            <v>69160</v>
          </cell>
        </row>
        <row r="46">
          <cell r="F46">
            <v>57681</v>
          </cell>
        </row>
      </sheetData>
      <sheetData sheetId="4">
        <row r="29">
          <cell r="L29">
            <v>470</v>
          </cell>
        </row>
        <row r="30">
          <cell r="K30">
            <v>26700</v>
          </cell>
        </row>
        <row r="32">
          <cell r="F32">
            <v>29200</v>
          </cell>
        </row>
      </sheetData>
      <sheetData sheetId="5">
        <row r="31">
          <cell r="J31">
            <v>20950</v>
          </cell>
        </row>
        <row r="34">
          <cell r="F34">
            <v>23605</v>
          </cell>
        </row>
      </sheetData>
      <sheetData sheetId="6">
        <row r="20">
          <cell r="L20">
            <v>1520</v>
          </cell>
          <cell r="M20">
            <v>1677</v>
          </cell>
        </row>
      </sheetData>
      <sheetData sheetId="7">
        <row r="27">
          <cell r="L27">
            <v>940</v>
          </cell>
          <cell r="M27">
            <v>32868.9</v>
          </cell>
        </row>
        <row r="28">
          <cell r="K28">
            <v>3580</v>
          </cell>
        </row>
        <row r="30">
          <cell r="G30">
            <v>33191.9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F21"/>
  <sheetViews>
    <sheetView topLeftCell="A5" zoomScale="85" zoomScaleNormal="85" workbookViewId="0">
      <selection activeCell="F30" sqref="F30"/>
    </sheetView>
  </sheetViews>
  <sheetFormatPr defaultRowHeight="15"/>
  <cols>
    <col min="4" max="4" width="19.7109375" customWidth="1"/>
    <col min="5" max="5" width="15" customWidth="1"/>
    <col min="6" max="6" width="17.85546875" customWidth="1"/>
  </cols>
  <sheetData>
    <row r="4" spans="2:6" s="4" customFormat="1">
      <c r="B4" s="2" t="s">
        <v>0</v>
      </c>
      <c r="C4" s="2" t="s">
        <v>1</v>
      </c>
      <c r="D4" s="2" t="s">
        <v>2</v>
      </c>
      <c r="E4" s="2" t="s">
        <v>3</v>
      </c>
      <c r="F4" s="3" t="s">
        <v>4</v>
      </c>
    </row>
    <row r="5" spans="2:6">
      <c r="B5" s="1"/>
      <c r="C5" s="1"/>
      <c r="D5" s="1"/>
      <c r="E5" s="1"/>
      <c r="F5" s="1"/>
    </row>
    <row r="6" spans="2:6" ht="15" customHeight="1">
      <c r="B6" s="1"/>
      <c r="C6" s="5" t="s">
        <v>19</v>
      </c>
      <c r="D6" s="6" t="s">
        <v>24</v>
      </c>
      <c r="E6" s="7">
        <v>1000</v>
      </c>
      <c r="F6" s="1"/>
    </row>
    <row r="7" spans="2:6">
      <c r="B7" s="1"/>
      <c r="C7" s="5" t="s">
        <v>19</v>
      </c>
      <c r="D7" s="6" t="s">
        <v>25</v>
      </c>
      <c r="E7" s="7">
        <v>4000</v>
      </c>
      <c r="F7" s="1"/>
    </row>
    <row r="8" spans="2:6">
      <c r="B8" s="1"/>
      <c r="C8" s="5" t="s">
        <v>19</v>
      </c>
      <c r="D8" s="6" t="s">
        <v>27</v>
      </c>
      <c r="E8" s="7">
        <v>4000</v>
      </c>
      <c r="F8" s="1"/>
    </row>
    <row r="9" spans="2:6">
      <c r="B9" s="1"/>
      <c r="C9" s="5" t="s">
        <v>19</v>
      </c>
      <c r="D9" s="6" t="s">
        <v>26</v>
      </c>
      <c r="E9" s="7">
        <v>4000</v>
      </c>
      <c r="F9" s="1"/>
    </row>
    <row r="10" spans="2:6">
      <c r="B10" s="1"/>
      <c r="C10" s="5" t="s">
        <v>19</v>
      </c>
      <c r="D10" s="6" t="s">
        <v>28</v>
      </c>
      <c r="E10" s="7">
        <v>1000</v>
      </c>
      <c r="F10" s="1"/>
    </row>
    <row r="11" spans="2:6">
      <c r="B11" s="1"/>
      <c r="C11" s="5" t="s">
        <v>20</v>
      </c>
      <c r="D11" s="6" t="s">
        <v>30</v>
      </c>
      <c r="E11" s="7">
        <v>4000</v>
      </c>
      <c r="F11" s="1"/>
    </row>
    <row r="12" spans="2:6">
      <c r="B12" s="1"/>
      <c r="C12" s="5" t="s">
        <v>20</v>
      </c>
      <c r="D12" s="6" t="s">
        <v>29</v>
      </c>
      <c r="E12" s="7">
        <v>5000</v>
      </c>
      <c r="F12" s="1"/>
    </row>
    <row r="13" spans="2:6">
      <c r="B13" s="1"/>
      <c r="C13" s="5" t="s">
        <v>21</v>
      </c>
      <c r="D13" s="6" t="s">
        <v>31</v>
      </c>
      <c r="E13" s="7">
        <v>3000</v>
      </c>
      <c r="F13" s="1"/>
    </row>
    <row r="14" spans="2:6">
      <c r="B14" s="1"/>
      <c r="C14" s="5" t="s">
        <v>22</v>
      </c>
      <c r="D14" t="s">
        <v>27</v>
      </c>
      <c r="E14" s="7">
        <v>1000</v>
      </c>
      <c r="F14" s="1"/>
    </row>
    <row r="15" spans="2:6">
      <c r="B15" s="1"/>
      <c r="C15" s="5" t="s">
        <v>23</v>
      </c>
      <c r="D15" s="7" t="s">
        <v>32</v>
      </c>
      <c r="E15" s="1">
        <v>6000</v>
      </c>
      <c r="F15" s="1"/>
    </row>
    <row r="16" spans="2:6">
      <c r="B16" s="1"/>
      <c r="C16" s="1"/>
      <c r="D16" s="1"/>
      <c r="E16" s="1">
        <f>SUM(E6:E15)</f>
        <v>33000</v>
      </c>
      <c r="F16" s="1"/>
    </row>
    <row r="17" spans="2:6">
      <c r="B17" s="1"/>
      <c r="C17" s="1"/>
      <c r="D17" s="1"/>
      <c r="E17" s="1"/>
      <c r="F17" s="1"/>
    </row>
    <row r="18" spans="2:6">
      <c r="B18" s="1"/>
      <c r="C18" s="1"/>
      <c r="D18" s="1"/>
      <c r="E18" s="1"/>
      <c r="F18" s="1"/>
    </row>
    <row r="19" spans="2:6">
      <c r="B19" s="1"/>
      <c r="C19" s="1"/>
      <c r="D19" s="1"/>
      <c r="E19" s="1"/>
      <c r="F19" s="1"/>
    </row>
    <row r="20" spans="2:6">
      <c r="B20" s="1"/>
      <c r="C20" s="1"/>
      <c r="D20" s="1"/>
      <c r="E20" s="1"/>
      <c r="F20" s="1"/>
    </row>
    <row r="21" spans="2:6">
      <c r="B21" s="1"/>
      <c r="C21" s="1"/>
      <c r="D21" s="1"/>
      <c r="E21" s="1"/>
      <c r="F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E5:I14"/>
  <sheetViews>
    <sheetView tabSelected="1" workbookViewId="0">
      <selection activeCell="G24" sqref="G24"/>
    </sheetView>
  </sheetViews>
  <sheetFormatPr defaultRowHeight="15"/>
  <cols>
    <col min="5" max="5" width="13.42578125" customWidth="1"/>
    <col min="6" max="6" width="12" customWidth="1"/>
    <col min="7" max="7" width="13" customWidth="1"/>
    <col min="8" max="8" width="15.140625" customWidth="1"/>
    <col min="9" max="9" width="19" customWidth="1"/>
  </cols>
  <sheetData>
    <row r="5" spans="5:9">
      <c r="E5" s="9" t="s">
        <v>5</v>
      </c>
      <c r="F5" s="9" t="s">
        <v>7</v>
      </c>
      <c r="G5" s="9" t="s">
        <v>8</v>
      </c>
      <c r="H5" s="10" t="s">
        <v>9</v>
      </c>
      <c r="I5" s="10"/>
    </row>
    <row r="6" spans="5:9">
      <c r="E6" s="9"/>
      <c r="F6" s="9"/>
      <c r="G6" s="9"/>
      <c r="H6" s="8" t="s">
        <v>10</v>
      </c>
      <c r="I6" s="8" t="s">
        <v>11</v>
      </c>
    </row>
    <row r="7" spans="5:9">
      <c r="E7" s="2" t="s">
        <v>6</v>
      </c>
      <c r="F7" s="1">
        <f>'[1]19-20'!$E$22</f>
        <v>11800</v>
      </c>
      <c r="G7" s="1">
        <f>'[1]19-20'!$G$22</f>
        <v>11660</v>
      </c>
      <c r="H7" s="1">
        <f>'[1]19-20'!$H$21</f>
        <v>140</v>
      </c>
      <c r="I7" s="1"/>
    </row>
    <row r="8" spans="5:9">
      <c r="E8" s="2" t="s">
        <v>12</v>
      </c>
      <c r="F8" s="1">
        <v>14425</v>
      </c>
      <c r="G8" s="1">
        <v>2821.93</v>
      </c>
      <c r="H8" s="1">
        <f>'[1]20-21'!$J$20</f>
        <v>460</v>
      </c>
      <c r="I8" s="1">
        <f>'[1]20-21'!$K$21</f>
        <v>11143.07</v>
      </c>
    </row>
    <row r="9" spans="5:9">
      <c r="E9" s="2" t="s">
        <v>13</v>
      </c>
      <c r="F9" s="1">
        <v>14660</v>
      </c>
      <c r="G9" s="1">
        <f>'[1]21-22'!$J$29</f>
        <v>7959</v>
      </c>
      <c r="H9" s="1">
        <f>'[1]21-22'!$K$28</f>
        <v>1350</v>
      </c>
      <c r="I9" s="1">
        <f>'[1]21-22'!$L$28</f>
        <v>16494.07</v>
      </c>
    </row>
    <row r="10" spans="5:9">
      <c r="E10" s="2" t="s">
        <v>14</v>
      </c>
      <c r="F10" s="1">
        <f>'[1]22-23'!$F$46</f>
        <v>57681</v>
      </c>
      <c r="G10" s="1">
        <f>'[1]22-23'!$J$44</f>
        <v>69160</v>
      </c>
      <c r="H10" s="1">
        <f>'[1]22-23'!$K$43</f>
        <v>2570</v>
      </c>
      <c r="I10" s="1">
        <f>'[1]22-23'!$L$43</f>
        <v>4026.0699999999997</v>
      </c>
    </row>
    <row r="11" spans="5:9">
      <c r="E11" s="2" t="s">
        <v>15</v>
      </c>
      <c r="F11" s="1">
        <f>'[1]23-24'!$F$32</f>
        <v>29200</v>
      </c>
      <c r="G11" s="1">
        <f>'[1]23-24'!$K$30</f>
        <v>26700</v>
      </c>
      <c r="H11" s="1">
        <f>'[1]23-24'!$L$29</f>
        <v>470</v>
      </c>
      <c r="I11" s="1">
        <v>0</v>
      </c>
    </row>
    <row r="12" spans="5:9">
      <c r="E12" s="2" t="s">
        <v>16</v>
      </c>
      <c r="F12" s="1">
        <f>'[1]24-25'!$F$34</f>
        <v>23605</v>
      </c>
      <c r="G12" s="1">
        <f>'[1]24-25'!$J$31</f>
        <v>20950</v>
      </c>
      <c r="H12" s="1">
        <v>120</v>
      </c>
      <c r="I12" s="1">
        <v>0</v>
      </c>
    </row>
    <row r="13" spans="5:9">
      <c r="E13" s="2" t="s">
        <v>17</v>
      </c>
      <c r="F13" s="1">
        <v>19100</v>
      </c>
      <c r="G13" s="1">
        <v>7700</v>
      </c>
      <c r="H13" s="1">
        <f>'[1]25-26'!$L$20</f>
        <v>1520</v>
      </c>
      <c r="I13" s="1">
        <f>'[1]25-26'!$M$20</f>
        <v>1677</v>
      </c>
    </row>
    <row r="14" spans="5:9">
      <c r="E14" s="2" t="s">
        <v>18</v>
      </c>
      <c r="F14" s="1">
        <f>'[1]26-27'!$G$30</f>
        <v>33191.9</v>
      </c>
      <c r="G14" s="1">
        <f>'[1]26-27'!$K$28</f>
        <v>3580</v>
      </c>
      <c r="H14" s="1">
        <f>'[1]26-27'!$L$27</f>
        <v>940</v>
      </c>
      <c r="I14" s="1">
        <f>'[1]26-27'!$M$27</f>
        <v>32868.9</v>
      </c>
    </row>
  </sheetData>
  <mergeCells count="4">
    <mergeCell ref="E5:E6"/>
    <mergeCell ref="F5:F6"/>
    <mergeCell ref="G5:G6"/>
    <mergeCell ref="H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Datewise donners</vt:lpstr>
      <vt:lpstr>Yearwise accounts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2026-07-14T01:26:42Z</dcterms:modified>
</cp:coreProperties>
</file>