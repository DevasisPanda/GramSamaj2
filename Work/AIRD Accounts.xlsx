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8"/>
  </bookViews>
  <sheets>
    <sheet name="19-20" sheetId="1" r:id="rId1"/>
    <sheet name="20-21" sheetId="2" r:id="rId2"/>
    <sheet name="21-22" sheetId="3" r:id="rId3"/>
    <sheet name="22-23" sheetId="4" r:id="rId4"/>
    <sheet name="23-24" sheetId="5" r:id="rId5"/>
    <sheet name="24-25" sheetId="6" r:id="rId6"/>
    <sheet name="25-26" sheetId="7" r:id="rId7"/>
    <sheet name="26-27" sheetId="8" r:id="rId8"/>
    <sheet name="State of account" sheetId="9" r:id="rId9"/>
  </sheets>
  <externalReferences>
    <externalReference r:id="rId10"/>
  </externalReferences>
  <calcPr calcId="124519"/>
</workbook>
</file>

<file path=xl/calcChain.xml><?xml version="1.0" encoding="utf-8"?>
<calcChain xmlns="http://schemas.openxmlformats.org/spreadsheetml/2006/main">
  <c r="L8" i="5"/>
  <c r="M15"/>
  <c r="M16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14"/>
  <c r="M13"/>
  <c r="G24"/>
  <c r="F46" i="4"/>
  <c r="I22" i="2"/>
  <c r="L16" i="8"/>
  <c r="L17" s="1"/>
  <c r="L18" s="1"/>
  <c r="L19" s="1"/>
  <c r="L20" s="1"/>
  <c r="L21" s="1"/>
  <c r="L22" s="1"/>
  <c r="L23" s="1"/>
  <c r="L15"/>
  <c r="L8" i="7"/>
  <c r="L9" s="1"/>
  <c r="L10" s="1"/>
  <c r="L11" s="1"/>
  <c r="L12" s="1"/>
  <c r="L13" s="1"/>
  <c r="L14" s="1"/>
  <c r="K6" i="6"/>
  <c r="K7" s="1"/>
  <c r="K8" s="1"/>
  <c r="K9" s="1"/>
  <c r="L7" i="5"/>
  <c r="L9" s="1"/>
  <c r="L10" s="1"/>
  <c r="L6" i="3"/>
  <c r="L9" s="1"/>
  <c r="L10" s="1"/>
  <c r="L11" s="1"/>
  <c r="L12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G22" i="1"/>
  <c r="E22"/>
  <c r="H8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7"/>
  <c r="L12" i="8"/>
  <c r="L13" s="1"/>
  <c r="G27"/>
  <c r="G26"/>
  <c r="G25"/>
  <c r="M18" i="7"/>
  <c r="M19" s="1"/>
  <c r="M20" s="1"/>
  <c r="M12" i="8" s="1"/>
  <c r="M13" s="1"/>
  <c r="M21" s="1"/>
  <c r="M25" s="1"/>
  <c r="M26" s="1"/>
  <c r="M27" s="1"/>
  <c r="M8" i="7"/>
  <c r="K14" i="6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L11"/>
  <c r="L12" s="1"/>
  <c r="L13" s="1"/>
  <c r="L14" s="1"/>
  <c r="L19" s="1"/>
  <c r="L23" s="1"/>
  <c r="L28" s="1"/>
  <c r="L29" s="1"/>
  <c r="L30" s="1"/>
  <c r="F11"/>
  <c r="F10"/>
  <c r="L6"/>
  <c r="L27" i="5"/>
  <c r="L24"/>
  <c r="L22"/>
  <c r="L18"/>
  <c r="M11"/>
  <c r="M12" s="1"/>
  <c r="K30" i="4"/>
  <c r="K31" s="1"/>
  <c r="K32" s="1"/>
  <c r="K33" s="1"/>
  <c r="K25"/>
  <c r="K26" s="1"/>
  <c r="K19"/>
  <c r="K14"/>
  <c r="K15" s="1"/>
  <c r="L7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K7"/>
  <c r="K8" s="1"/>
  <c r="J29" i="3"/>
  <c r="H29"/>
  <c r="G29"/>
  <c r="F29"/>
  <c r="E29"/>
  <c r="K8"/>
  <c r="K13" s="1"/>
  <c r="K14" s="1"/>
  <c r="K7"/>
  <c r="E22" i="2"/>
  <c r="E26" s="1"/>
  <c r="D22"/>
  <c r="K15"/>
  <c r="K16" s="1"/>
  <c r="K17" s="1"/>
  <c r="K18" s="1"/>
  <c r="K21" s="1"/>
  <c r="K14"/>
  <c r="K11"/>
  <c r="K12" s="1"/>
  <c r="J9"/>
  <c r="J10" s="1"/>
  <c r="J13" s="1"/>
  <c r="J19" s="1"/>
  <c r="J20" s="1"/>
  <c r="J8"/>
  <c r="L34" i="4" l="1"/>
  <c r="L35" s="1"/>
  <c r="L36" s="1"/>
  <c r="L37" s="1"/>
  <c r="L38" s="1"/>
  <c r="L39" s="1"/>
  <c r="L40" s="1"/>
  <c r="L41" s="1"/>
  <c r="L42" s="1"/>
  <c r="L43" s="1"/>
  <c r="M7" i="5" s="1"/>
  <c r="K34" i="4"/>
  <c r="K35" s="1"/>
  <c r="K36" s="1"/>
  <c r="K37" s="1"/>
  <c r="K38" s="1"/>
  <c r="K39" s="1"/>
  <c r="K40" s="1"/>
  <c r="K41" s="1"/>
</calcChain>
</file>

<file path=xl/sharedStrings.xml><?xml version="1.0" encoding="utf-8"?>
<sst xmlns="http://schemas.openxmlformats.org/spreadsheetml/2006/main" count="469" uniqueCount="272">
  <si>
    <t>Date</t>
  </si>
  <si>
    <t>Received from</t>
  </si>
  <si>
    <t>Cash</t>
  </si>
  <si>
    <t>Through Bank</t>
  </si>
  <si>
    <t>Deposited in Bank</t>
  </si>
  <si>
    <t>Withdrawn from Bank</t>
  </si>
  <si>
    <t>Expenditure</t>
  </si>
  <si>
    <t>Balance</t>
  </si>
  <si>
    <t>Purpose</t>
  </si>
  <si>
    <t>Amount</t>
  </si>
  <si>
    <t>Cash in hand</t>
  </si>
  <si>
    <t>Cash in Bank</t>
  </si>
  <si>
    <t>B/F</t>
  </si>
  <si>
    <t>21.04.22</t>
  </si>
  <si>
    <t>K. C. Tripathi</t>
  </si>
  <si>
    <t>Earth Day</t>
  </si>
  <si>
    <t>18.05.22</t>
  </si>
  <si>
    <t>DR</t>
  </si>
  <si>
    <t>13.07.22</t>
  </si>
  <si>
    <t>Shriya</t>
  </si>
  <si>
    <t>16.07.22</t>
  </si>
  <si>
    <t>Neera Tripathi (RD)</t>
  </si>
  <si>
    <t>16.07.23</t>
  </si>
  <si>
    <t>Pranshu Tripathi (RD)</t>
  </si>
  <si>
    <t>17.07.22</t>
  </si>
  <si>
    <t>Atul Verma (RD)</t>
  </si>
  <si>
    <t>31.07.23</t>
  </si>
  <si>
    <t>Pranshu Tripathi</t>
  </si>
  <si>
    <t>14.11.22</t>
  </si>
  <si>
    <t>29.11.22</t>
  </si>
  <si>
    <t>Rajiv</t>
  </si>
  <si>
    <t>01.12.22</t>
  </si>
  <si>
    <t>05.12.22</t>
  </si>
  <si>
    <t>12.12.22</t>
  </si>
  <si>
    <t xml:space="preserve">DR </t>
  </si>
  <si>
    <t>14.12.22</t>
  </si>
  <si>
    <t xml:space="preserve">Rajiv </t>
  </si>
  <si>
    <t>28.12.22</t>
  </si>
  <si>
    <t>30.12.22</t>
  </si>
  <si>
    <t>12.01.23</t>
  </si>
  <si>
    <t>Vivekananda Jayanti</t>
  </si>
  <si>
    <t>14.01.23</t>
  </si>
  <si>
    <t>Spritual science and development</t>
  </si>
  <si>
    <t>17.01.23</t>
  </si>
  <si>
    <t>Website development</t>
  </si>
  <si>
    <t>27.01.23</t>
  </si>
  <si>
    <t>Rajiv (RD)</t>
  </si>
  <si>
    <t>14.02.23</t>
  </si>
  <si>
    <t>16.02.23</t>
  </si>
  <si>
    <t>18.02.23</t>
  </si>
  <si>
    <t>22.02.23</t>
  </si>
  <si>
    <t>Medical support to Archna</t>
  </si>
  <si>
    <t>26.02.23</t>
  </si>
  <si>
    <t>Community meet</t>
  </si>
  <si>
    <t>28.02.23</t>
  </si>
  <si>
    <t>03.03.23</t>
  </si>
  <si>
    <t>05.03.23</t>
  </si>
  <si>
    <t>RD</t>
  </si>
  <si>
    <t>Office assistance</t>
  </si>
  <si>
    <t>06.03.23</t>
  </si>
  <si>
    <t>12.03.23</t>
  </si>
  <si>
    <t>Total expenditure</t>
  </si>
  <si>
    <t>Statement of account since 1st April 2020 till 31st March 2021</t>
  </si>
  <si>
    <t>Deposited in bank</t>
  </si>
  <si>
    <t>Withdrawn from bank</t>
  </si>
  <si>
    <t>01.04.2020</t>
  </si>
  <si>
    <t>BF</t>
  </si>
  <si>
    <t>22.04.2020</t>
  </si>
  <si>
    <t>05.05.2020</t>
  </si>
  <si>
    <t>Environment Day</t>
  </si>
  <si>
    <t>30.06.2020</t>
  </si>
  <si>
    <t>A/C opening in SBI</t>
  </si>
  <si>
    <t>01.07.2020</t>
  </si>
  <si>
    <t>Cheque book issue charges</t>
  </si>
  <si>
    <t>04.7.2020</t>
  </si>
  <si>
    <t>25.09.2020</t>
  </si>
  <si>
    <t>Birth day of Bank Uncle</t>
  </si>
  <si>
    <t>12.10.2020</t>
  </si>
  <si>
    <t>BRP</t>
  </si>
  <si>
    <t>13.10.2020</t>
  </si>
  <si>
    <t>Bank charges</t>
  </si>
  <si>
    <t>15.10.2020</t>
  </si>
  <si>
    <t>05.11.2020</t>
  </si>
  <si>
    <t>03.12.2020</t>
  </si>
  <si>
    <t>Foundation day of AIRD</t>
  </si>
  <si>
    <t>12.01.2021</t>
  </si>
  <si>
    <t>Vivaknada Jayanti</t>
  </si>
  <si>
    <t>12.03.2021</t>
  </si>
  <si>
    <t>A/C keeping charges</t>
  </si>
  <si>
    <t>Income Total</t>
  </si>
  <si>
    <t>Total Expenditure</t>
  </si>
  <si>
    <t>Statement of account since 1st April 2021 till 31st March 2022</t>
  </si>
  <si>
    <t>Withdrawan from bank</t>
  </si>
  <si>
    <t>20.09/21</t>
  </si>
  <si>
    <t>25.09.21</t>
  </si>
  <si>
    <t>Birthday of Bank uncle</t>
  </si>
  <si>
    <t>22.12.21</t>
  </si>
  <si>
    <t>Razor pay</t>
  </si>
  <si>
    <t>29.12.21</t>
  </si>
  <si>
    <t>03.01.22</t>
  </si>
  <si>
    <t>Ankur (RD)</t>
  </si>
  <si>
    <t>04.01.22</t>
  </si>
  <si>
    <t>Bhawana (RD)</t>
  </si>
  <si>
    <t>o4.01.22</t>
  </si>
  <si>
    <t>12.01.22</t>
  </si>
  <si>
    <t>17.01.22</t>
  </si>
  <si>
    <t>01.02.22</t>
  </si>
  <si>
    <t>17.02.22</t>
  </si>
  <si>
    <t>Peanshu Tripathi (RD)</t>
  </si>
  <si>
    <t>08.3.22</t>
  </si>
  <si>
    <t>08.03.22</t>
  </si>
  <si>
    <t xml:space="preserve">Kutumbh </t>
  </si>
  <si>
    <t>11.03.22</t>
  </si>
  <si>
    <t>12.03.22</t>
  </si>
  <si>
    <t>17.03.22</t>
  </si>
  <si>
    <t xml:space="preserve">Ravi </t>
  </si>
  <si>
    <t>19.03.22</t>
  </si>
  <si>
    <t>21.03.22</t>
  </si>
  <si>
    <t>31.03.22</t>
  </si>
  <si>
    <t>Total</t>
  </si>
  <si>
    <t>Statement of account period - 1st April 2022 till 31st March 2023</t>
  </si>
  <si>
    <t xml:space="preserve"> </t>
  </si>
  <si>
    <t>22.04.22</t>
  </si>
  <si>
    <t>Donation returned (RD) to repay loan of last financial year</t>
  </si>
  <si>
    <t>Neera Tripathi Returnable donation (RD)</t>
  </si>
  <si>
    <t>Meeting of Bord dorectors</t>
  </si>
  <si>
    <t>25.9.23</t>
  </si>
  <si>
    <t>K.C. Tripathi</t>
  </si>
  <si>
    <t>Bank Uncle Day</t>
  </si>
  <si>
    <t>3.12.22</t>
  </si>
  <si>
    <t>Development Car Day</t>
  </si>
  <si>
    <t xml:space="preserve">Neera Tripathi </t>
  </si>
  <si>
    <t>31/1/23</t>
  </si>
  <si>
    <t>Foundation Day</t>
  </si>
  <si>
    <t>Community dinner</t>
  </si>
  <si>
    <t>Archna returned support</t>
  </si>
  <si>
    <t>Spirirual camp</t>
  </si>
  <si>
    <t>18.3.23</t>
  </si>
  <si>
    <t>2.4.23</t>
  </si>
  <si>
    <t>Meeting with Bord of Directors</t>
  </si>
  <si>
    <t>22.4.23</t>
  </si>
  <si>
    <t>Eqarth Day</t>
  </si>
  <si>
    <t>25.4.23</t>
  </si>
  <si>
    <t>Atul Verma</t>
  </si>
  <si>
    <t>Panchaayt Diwas</t>
  </si>
  <si>
    <t>31.5.23</t>
  </si>
  <si>
    <t>Account keeping charges</t>
  </si>
  <si>
    <t>30.6.23</t>
  </si>
  <si>
    <t>31.7.23</t>
  </si>
  <si>
    <t>18.8.23</t>
  </si>
  <si>
    <t>29.8.23</t>
  </si>
  <si>
    <t>13.9.23</t>
  </si>
  <si>
    <t>19.9.23</t>
  </si>
  <si>
    <t>Ban Uncle Day</t>
  </si>
  <si>
    <t>27.9.23</t>
  </si>
  <si>
    <t>31.10.23</t>
  </si>
  <si>
    <t>30.11.23</t>
  </si>
  <si>
    <t>3.12.23</t>
  </si>
  <si>
    <t>31.12.23</t>
  </si>
  <si>
    <t>2.1.24</t>
  </si>
  <si>
    <t>Bord meeting</t>
  </si>
  <si>
    <t>5.1.24</t>
  </si>
  <si>
    <t>Poonam RD</t>
  </si>
  <si>
    <t>18.1.24</t>
  </si>
  <si>
    <t>Poonam DR</t>
  </si>
  <si>
    <t>31.1.24</t>
  </si>
  <si>
    <t>Neera Tripathi</t>
  </si>
  <si>
    <t>29.2.24</t>
  </si>
  <si>
    <t>12.3.24</t>
  </si>
  <si>
    <t>Statement of account period - 1st April 2022 till 31st March 2026</t>
  </si>
  <si>
    <t>2.4.24</t>
  </si>
  <si>
    <t>22.4.24</t>
  </si>
  <si>
    <t>25.4.24</t>
  </si>
  <si>
    <t>Panchayat Diwas</t>
  </si>
  <si>
    <t>5.5.24</t>
  </si>
  <si>
    <t>SSS</t>
  </si>
  <si>
    <t>6.5.24</t>
  </si>
  <si>
    <t>21.5.24</t>
  </si>
  <si>
    <t>Spiritual camps</t>
  </si>
  <si>
    <t>26.5.24</t>
  </si>
  <si>
    <t>29.5.24</t>
  </si>
  <si>
    <t>5.6.24</t>
  </si>
  <si>
    <t>18.6.24</t>
  </si>
  <si>
    <t>27.6.24</t>
  </si>
  <si>
    <t>Experience sharing meet</t>
  </si>
  <si>
    <t>25.9.24</t>
  </si>
  <si>
    <t>Gaurav Pandey</t>
  </si>
  <si>
    <t>3.12.24</t>
  </si>
  <si>
    <t>27.12.24</t>
  </si>
  <si>
    <t>Workshop to develop action plan</t>
  </si>
  <si>
    <t>29.12.24</t>
  </si>
  <si>
    <t>Development of educational material</t>
  </si>
  <si>
    <t>30.12.24</t>
  </si>
  <si>
    <t>Meeting of Bord Directors</t>
  </si>
  <si>
    <t>5.1.25</t>
  </si>
  <si>
    <t>Formulation of project</t>
  </si>
  <si>
    <t>31.1.25</t>
  </si>
  <si>
    <t>28.2.25</t>
  </si>
  <si>
    <t>12.3.25</t>
  </si>
  <si>
    <t>22.4.25</t>
  </si>
  <si>
    <t>25.4.25</t>
  </si>
  <si>
    <t>Panchayat Dawas</t>
  </si>
  <si>
    <t>25.9.25</t>
  </si>
  <si>
    <t>3.12.25</t>
  </si>
  <si>
    <t>31.1.26</t>
  </si>
  <si>
    <t>Foundaton Day</t>
  </si>
  <si>
    <t>2.2.26</t>
  </si>
  <si>
    <t>Directors meet</t>
  </si>
  <si>
    <t>15.3.26</t>
  </si>
  <si>
    <t>Neera RD</t>
  </si>
  <si>
    <t>16.3.26</t>
  </si>
  <si>
    <t>Honorarium of experts</t>
  </si>
  <si>
    <t>23.3.26</t>
  </si>
  <si>
    <t>Jajeevan mission report</t>
  </si>
  <si>
    <t>24.3.26</t>
  </si>
  <si>
    <t>31.3.26</t>
  </si>
  <si>
    <t>3.4.26</t>
  </si>
  <si>
    <t>6.4.26</t>
  </si>
  <si>
    <t>11.5.26</t>
  </si>
  <si>
    <t>12.5.26</t>
  </si>
  <si>
    <t>28.5.26</t>
  </si>
  <si>
    <t>Statement of account since 02.12.2019 till 31st March 2020</t>
  </si>
  <si>
    <t>Income</t>
  </si>
  <si>
    <t>03.12.2019</t>
  </si>
  <si>
    <t>Mrs. Neera Tripathi</t>
  </si>
  <si>
    <t>Birth day of Development Car founder</t>
  </si>
  <si>
    <t>05.12.2019</t>
  </si>
  <si>
    <t>Meetings with like mided people to establish an appropriate instute</t>
  </si>
  <si>
    <t>23.12.2019</t>
  </si>
  <si>
    <t xml:space="preserve">Meetings with memers of Self Help Group </t>
  </si>
  <si>
    <t>25.12.2019</t>
  </si>
  <si>
    <t>Meetings with villagers to explore opportunity</t>
  </si>
  <si>
    <t>13 .01.2020</t>
  </si>
  <si>
    <t>Meeting with villagers to slect local people to provide position in management of trust</t>
  </si>
  <si>
    <t>14 .01.2020</t>
  </si>
  <si>
    <t>Meeting to finalise objectives of trust and members of BoT</t>
  </si>
  <si>
    <t>26 .01.2019</t>
  </si>
  <si>
    <t>Participatory planning to develop village as live model on process of development</t>
  </si>
  <si>
    <t>31.01.2020</t>
  </si>
  <si>
    <t>Registration of Trust</t>
  </si>
  <si>
    <t>02.02.2020</t>
  </si>
  <si>
    <t>Neera Tripathu</t>
  </si>
  <si>
    <t>Planning KRANTI for Swaraj</t>
  </si>
  <si>
    <t>08.03.2020</t>
  </si>
  <si>
    <t>PAC card</t>
  </si>
  <si>
    <t>12.03.2020</t>
  </si>
  <si>
    <t>Meeting with villagers on Transperancy and Devlopment</t>
  </si>
  <si>
    <t>30.03.2020</t>
  </si>
  <si>
    <t xml:space="preserve">Review meeting </t>
  </si>
  <si>
    <t xml:space="preserve">Total Income </t>
  </si>
  <si>
    <t>Old laptop</t>
  </si>
  <si>
    <t>4.4.26</t>
  </si>
  <si>
    <t>5.4.26</t>
  </si>
  <si>
    <t>22.4.26</t>
  </si>
  <si>
    <t>24.4.26</t>
  </si>
  <si>
    <t>Website</t>
  </si>
  <si>
    <t>10.5.26</t>
  </si>
  <si>
    <t>Received</t>
  </si>
  <si>
    <t>cash in hand</t>
  </si>
  <si>
    <t>Bank deposit</t>
  </si>
  <si>
    <t>laibality</t>
  </si>
  <si>
    <t>3.12.2019</t>
  </si>
  <si>
    <t>3.3.2020</t>
  </si>
  <si>
    <t>3.12.2021</t>
  </si>
  <si>
    <t>31.3.2022</t>
  </si>
  <si>
    <t>18.3.2023</t>
  </si>
  <si>
    <t>12.3.2024</t>
  </si>
  <si>
    <t>12.3.2025</t>
  </si>
  <si>
    <t>31.3.2026</t>
  </si>
  <si>
    <t>Returnable donation</t>
  </si>
  <si>
    <t>Donation returned</t>
  </si>
  <si>
    <t>Financial position of AIRD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</si>
</sst>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5" xfId="0" applyFill="1" applyBorder="1"/>
    <xf numFmtId="0" fontId="0" fillId="0" borderId="7" xfId="0" applyBorder="1"/>
    <xf numFmtId="0" fontId="0" fillId="2" borderId="4" xfId="0" applyFill="1" applyBorder="1"/>
    <xf numFmtId="0" fontId="0" fillId="2" borderId="7" xfId="0" applyFill="1" applyBorder="1"/>
    <xf numFmtId="0" fontId="0" fillId="2" borderId="5" xfId="0" applyFill="1" applyBorder="1" applyAlignment="1">
      <alignment wrapText="1"/>
    </xf>
    <xf numFmtId="0" fontId="0" fillId="0" borderId="8" xfId="0" applyBorder="1"/>
    <xf numFmtId="0" fontId="0" fillId="0" borderId="9" xfId="0" applyBorder="1"/>
    <xf numFmtId="0" fontId="0" fillId="0" borderId="5" xfId="0" applyFill="1" applyBorder="1"/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12" xfId="0" applyBorder="1"/>
    <xf numFmtId="0" fontId="0" fillId="0" borderId="14" xfId="0" applyBorder="1"/>
    <xf numFmtId="0" fontId="1" fillId="0" borderId="25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0" fillId="0" borderId="1" xfId="0" applyBorder="1"/>
    <xf numFmtId="0" fontId="0" fillId="0" borderId="5" xfId="0" applyBorder="1" applyAlignment="1"/>
    <xf numFmtId="0" fontId="0" fillId="0" borderId="5" xfId="0" applyBorder="1" applyAlignment="1">
      <alignment wrapText="1"/>
    </xf>
    <xf numFmtId="0" fontId="1" fillId="0" borderId="12" xfId="0" applyFont="1" applyBorder="1"/>
    <xf numFmtId="0" fontId="1" fillId="0" borderId="14" xfId="0" applyFont="1" applyBorder="1"/>
    <xf numFmtId="0" fontId="1" fillId="0" borderId="29" xfId="0" applyFont="1" applyBorder="1"/>
    <xf numFmtId="0" fontId="1" fillId="0" borderId="30" xfId="0" applyFont="1" applyFill="1" applyBorder="1" applyAlignment="1">
      <alignment wrapText="1"/>
    </xf>
    <xf numFmtId="0" fontId="1" fillId="0" borderId="24" xfId="0" applyFont="1" applyBorder="1"/>
    <xf numFmtId="0" fontId="1" fillId="0" borderId="32" xfId="0" applyFont="1" applyBorder="1" applyAlignment="1">
      <alignment vertical="center" wrapText="1"/>
    </xf>
    <xf numFmtId="0" fontId="0" fillId="0" borderId="34" xfId="0" applyBorder="1"/>
    <xf numFmtId="0" fontId="0" fillId="0" borderId="35" xfId="0" applyBorder="1"/>
    <xf numFmtId="0" fontId="4" fillId="0" borderId="25" xfId="0" applyFont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0" borderId="32" xfId="0" applyFont="1" applyBorder="1" applyAlignment="1">
      <alignment vertical="center" wrapText="1"/>
    </xf>
    <xf numFmtId="0" fontId="0" fillId="2" borderId="0" xfId="0" applyFill="1"/>
    <xf numFmtId="0" fontId="1" fillId="0" borderId="14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3" xfId="0" applyBorder="1"/>
    <xf numFmtId="0" fontId="0" fillId="0" borderId="34" xfId="0" applyBorder="1" applyAlignment="1">
      <alignment wrapText="1"/>
    </xf>
    <xf numFmtId="0" fontId="0" fillId="0" borderId="5" xfId="0" applyBorder="1" applyAlignment="1">
      <alignment vertical="top" wrapText="1"/>
    </xf>
    <xf numFmtId="0" fontId="1" fillId="2" borderId="5" xfId="0" applyFont="1" applyFill="1" applyBorder="1"/>
    <xf numFmtId="0" fontId="0" fillId="0" borderId="5" xfId="0" applyFill="1" applyBorder="1" applyAlignment="1">
      <alignment wrapText="1"/>
    </xf>
    <xf numFmtId="0" fontId="4" fillId="0" borderId="14" xfId="0" applyFont="1" applyBorder="1" applyAlignment="1"/>
    <xf numFmtId="0" fontId="4" fillId="0" borderId="11" xfId="0" applyFont="1" applyFill="1" applyBorder="1" applyAlignment="1">
      <alignment horizontal="center" vertical="center" wrapText="1"/>
    </xf>
    <xf numFmtId="0" fontId="4" fillId="0" borderId="14" xfId="0" applyFont="1" applyBorder="1"/>
    <xf numFmtId="0" fontId="0" fillId="0" borderId="36" xfId="0" applyFill="1" applyBorder="1"/>
    <xf numFmtId="0" fontId="0" fillId="0" borderId="0" xfId="0" applyAlignment="1">
      <alignment wrapText="1"/>
    </xf>
    <xf numFmtId="0" fontId="0" fillId="2" borderId="37" xfId="0" applyFill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" fillId="2" borderId="5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3" fillId="2" borderId="5" xfId="0" applyFont="1" applyFill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7" xfId="0" applyFont="1" applyFill="1" applyBorder="1"/>
    <xf numFmtId="0" fontId="3" fillId="2" borderId="4" xfId="0" applyFont="1" applyFill="1" applyBorder="1"/>
    <xf numFmtId="0" fontId="3" fillId="2" borderId="5" xfId="0" applyFont="1" applyFill="1" applyBorder="1" applyAlignment="1">
      <alignment wrapText="1"/>
    </xf>
    <xf numFmtId="0" fontId="3" fillId="2" borderId="31" xfId="0" applyFont="1" applyFill="1" applyBorder="1"/>
    <xf numFmtId="0" fontId="3" fillId="2" borderId="25" xfId="0" applyFont="1" applyFill="1" applyBorder="1" applyAlignment="1">
      <alignment wrapText="1"/>
    </xf>
    <xf numFmtId="0" fontId="3" fillId="2" borderId="25" xfId="0" applyFont="1" applyFill="1" applyBorder="1"/>
    <xf numFmtId="0" fontId="3" fillId="2" borderId="32" xfId="0" applyFont="1" applyFill="1" applyBorder="1"/>
    <xf numFmtId="0" fontId="4" fillId="2" borderId="4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wrapText="1"/>
    </xf>
    <xf numFmtId="0" fontId="5" fillId="2" borderId="6" xfId="0" applyFont="1" applyFill="1" applyBorder="1"/>
    <xf numFmtId="0" fontId="5" fillId="2" borderId="32" xfId="0" applyFont="1" applyFill="1" applyBorder="1"/>
    <xf numFmtId="0" fontId="5" fillId="2" borderId="8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31" xfId="0" applyFont="1" applyFill="1" applyBorder="1"/>
    <xf numFmtId="0" fontId="1" fillId="2" borderId="25" xfId="0" applyFont="1" applyFill="1" applyBorder="1"/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1" fillId="2" borderId="7" xfId="0" applyFont="1" applyFill="1" applyBorder="1"/>
    <xf numFmtId="0" fontId="0" fillId="2" borderId="31" xfId="0" applyFill="1" applyBorder="1"/>
    <xf numFmtId="0" fontId="0" fillId="2" borderId="25" xfId="0" applyFill="1" applyBorder="1"/>
    <xf numFmtId="0" fontId="0" fillId="2" borderId="32" xfId="0" applyFill="1" applyBorder="1"/>
    <xf numFmtId="0" fontId="6" fillId="2" borderId="5" xfId="0" applyFont="1" applyFill="1" applyBorder="1"/>
    <xf numFmtId="0" fontId="6" fillId="2" borderId="5" xfId="0" applyFont="1" applyFill="1" applyBorder="1" applyAlignment="1">
      <alignment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6" fillId="2" borderId="4" xfId="0" applyFont="1" applyFill="1" applyBorder="1"/>
    <xf numFmtId="0" fontId="6" fillId="2" borderId="7" xfId="0" applyFont="1" applyFill="1" applyBorder="1"/>
    <xf numFmtId="0" fontId="0" fillId="2" borderId="25" xfId="0" applyFill="1" applyBorder="1" applyAlignment="1">
      <alignment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Garima/Statement%20of%20Ban%20accoun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2-23"/>
      <sheetName val="23-24"/>
      <sheetName val="24-25"/>
      <sheetName val="25-26"/>
      <sheetName val="26-27"/>
    </sheetNames>
    <sheetDataSet>
      <sheetData sheetId="0"/>
      <sheetData sheetId="1">
        <row r="26">
          <cell r="K26">
            <v>296.06999999999971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H22"/>
  <sheetViews>
    <sheetView topLeftCell="A13" workbookViewId="0">
      <selection activeCell="J32" sqref="J32"/>
    </sheetView>
  </sheetViews>
  <sheetFormatPr defaultRowHeight="15"/>
  <cols>
    <col min="3" max="3" width="14.7109375" customWidth="1"/>
    <col min="6" max="6" width="60.85546875" customWidth="1"/>
  </cols>
  <sheetData>
    <row r="3" spans="3:8" ht="15.75" thickBot="1"/>
    <row r="4" spans="3:8" ht="15.75" thickBot="1">
      <c r="C4" s="58" t="s">
        <v>221</v>
      </c>
      <c r="D4" s="59"/>
      <c r="E4" s="59"/>
      <c r="F4" s="59"/>
      <c r="G4" s="59"/>
      <c r="H4" s="60"/>
    </row>
    <row r="5" spans="3:8" ht="15.75" thickBot="1">
      <c r="C5" s="61" t="s">
        <v>222</v>
      </c>
      <c r="D5" s="62"/>
      <c r="E5" s="62"/>
      <c r="F5" s="62" t="s">
        <v>6</v>
      </c>
      <c r="G5" s="62"/>
      <c r="H5" s="35" t="s">
        <v>7</v>
      </c>
    </row>
    <row r="6" spans="3:8" ht="15.75" thickBot="1">
      <c r="C6" s="36" t="s">
        <v>0</v>
      </c>
      <c r="D6" s="37" t="s">
        <v>1</v>
      </c>
      <c r="E6" s="37" t="s">
        <v>9</v>
      </c>
      <c r="F6" s="38" t="s">
        <v>8</v>
      </c>
      <c r="G6" s="39" t="s">
        <v>9</v>
      </c>
      <c r="H6" s="40" t="s">
        <v>10</v>
      </c>
    </row>
    <row r="7" spans="3:8">
      <c r="C7" s="41" t="s">
        <v>223</v>
      </c>
      <c r="D7" s="29" t="s">
        <v>14</v>
      </c>
      <c r="E7" s="29">
        <v>1100</v>
      </c>
      <c r="F7" s="42"/>
      <c r="G7" s="29"/>
      <c r="H7" s="30">
        <f>E7</f>
        <v>1100</v>
      </c>
    </row>
    <row r="8" spans="3:8">
      <c r="C8" s="3" t="s">
        <v>223</v>
      </c>
      <c r="D8" s="4" t="s">
        <v>224</v>
      </c>
      <c r="E8" s="4">
        <v>1000</v>
      </c>
      <c r="F8" s="22"/>
      <c r="G8" s="4"/>
      <c r="H8" s="6">
        <f>H7+E8</f>
        <v>2100</v>
      </c>
    </row>
    <row r="9" spans="3:8">
      <c r="C9" s="3" t="s">
        <v>223</v>
      </c>
      <c r="D9" s="4" t="s">
        <v>143</v>
      </c>
      <c r="E9" s="4">
        <v>500</v>
      </c>
      <c r="F9" s="22"/>
      <c r="G9" s="4"/>
      <c r="H9" s="6">
        <f>H8+E9</f>
        <v>2600</v>
      </c>
    </row>
    <row r="10" spans="3:8" ht="20.100000000000001" customHeight="1">
      <c r="C10" s="3" t="s">
        <v>223</v>
      </c>
      <c r="D10" s="4"/>
      <c r="E10" s="4"/>
      <c r="F10" s="22" t="s">
        <v>225</v>
      </c>
      <c r="G10" s="4">
        <v>1450</v>
      </c>
      <c r="H10" s="6">
        <f t="shared" ref="H10:H21" si="0">H9+E10-G10</f>
        <v>1150</v>
      </c>
    </row>
    <row r="11" spans="3:8" ht="20.100000000000001" customHeight="1">
      <c r="C11" s="3" t="s">
        <v>226</v>
      </c>
      <c r="D11" s="4" t="s">
        <v>27</v>
      </c>
      <c r="E11" s="4">
        <v>1500</v>
      </c>
      <c r="F11" s="43" t="s">
        <v>227</v>
      </c>
      <c r="G11" s="4">
        <v>900</v>
      </c>
      <c r="H11" s="6">
        <f t="shared" si="0"/>
        <v>1750</v>
      </c>
    </row>
    <row r="12" spans="3:8" ht="20.100000000000001" customHeight="1">
      <c r="C12" s="3" t="s">
        <v>228</v>
      </c>
      <c r="D12" s="4"/>
      <c r="E12" s="4"/>
      <c r="F12" s="22" t="s">
        <v>229</v>
      </c>
      <c r="G12" s="4">
        <v>1500</v>
      </c>
      <c r="H12" s="6">
        <f t="shared" si="0"/>
        <v>250</v>
      </c>
    </row>
    <row r="13" spans="3:8" ht="20.100000000000001" customHeight="1">
      <c r="C13" s="3" t="s">
        <v>230</v>
      </c>
      <c r="D13" s="4" t="s">
        <v>224</v>
      </c>
      <c r="E13" s="4">
        <v>2000</v>
      </c>
      <c r="F13" s="22" t="s">
        <v>231</v>
      </c>
      <c r="G13" s="4">
        <v>2110</v>
      </c>
      <c r="H13" s="6">
        <f t="shared" si="0"/>
        <v>140</v>
      </c>
    </row>
    <row r="14" spans="3:8" ht="20.100000000000001" customHeight="1">
      <c r="C14" s="3" t="s">
        <v>232</v>
      </c>
      <c r="D14" s="4" t="s">
        <v>14</v>
      </c>
      <c r="E14" s="4">
        <v>2000</v>
      </c>
      <c r="F14" s="43" t="s">
        <v>233</v>
      </c>
      <c r="G14" s="4">
        <v>890</v>
      </c>
      <c r="H14" s="6">
        <f t="shared" si="0"/>
        <v>1250</v>
      </c>
    </row>
    <row r="15" spans="3:8" ht="20.100000000000001" customHeight="1">
      <c r="C15" s="3" t="s">
        <v>234</v>
      </c>
      <c r="D15" s="4"/>
      <c r="E15" s="4"/>
      <c r="F15" s="43" t="s">
        <v>235</v>
      </c>
      <c r="G15" s="4">
        <v>160</v>
      </c>
      <c r="H15" s="6">
        <f t="shared" si="0"/>
        <v>1090</v>
      </c>
    </row>
    <row r="16" spans="3:8" ht="20.100000000000001" customHeight="1">
      <c r="C16" s="3" t="s">
        <v>236</v>
      </c>
      <c r="D16" s="12" t="s">
        <v>27</v>
      </c>
      <c r="E16" s="4">
        <v>2100</v>
      </c>
      <c r="F16" s="43" t="s">
        <v>237</v>
      </c>
      <c r="G16" s="4">
        <v>350</v>
      </c>
      <c r="H16" s="6">
        <f t="shared" si="0"/>
        <v>2840</v>
      </c>
    </row>
    <row r="17" spans="3:8" ht="20.100000000000001" customHeight="1">
      <c r="C17" s="3" t="s">
        <v>238</v>
      </c>
      <c r="D17" s="4"/>
      <c r="E17" s="4"/>
      <c r="F17" s="22" t="s">
        <v>239</v>
      </c>
      <c r="G17" s="4">
        <v>2600</v>
      </c>
      <c r="H17" s="6">
        <f t="shared" si="0"/>
        <v>240</v>
      </c>
    </row>
    <row r="18" spans="3:8" ht="20.100000000000001" customHeight="1">
      <c r="C18" s="3" t="s">
        <v>240</v>
      </c>
      <c r="D18" s="44" t="s">
        <v>241</v>
      </c>
      <c r="E18" s="5">
        <v>1100</v>
      </c>
      <c r="F18" s="45" t="s">
        <v>242</v>
      </c>
      <c r="G18" s="4">
        <v>170</v>
      </c>
      <c r="H18" s="6">
        <f t="shared" si="0"/>
        <v>1170</v>
      </c>
    </row>
    <row r="19" spans="3:8" ht="20.100000000000001" customHeight="1">
      <c r="C19" s="3" t="s">
        <v>243</v>
      </c>
      <c r="D19" s="5"/>
      <c r="E19" s="5"/>
      <c r="F19" s="22" t="s">
        <v>244</v>
      </c>
      <c r="G19" s="4">
        <v>250</v>
      </c>
      <c r="H19" s="6">
        <f t="shared" si="0"/>
        <v>920</v>
      </c>
    </row>
    <row r="20" spans="3:8" ht="20.100000000000001" customHeight="1">
      <c r="C20" s="3" t="s">
        <v>245</v>
      </c>
      <c r="D20" s="4" t="s">
        <v>224</v>
      </c>
      <c r="E20" s="4">
        <v>500</v>
      </c>
      <c r="F20" s="22" t="s">
        <v>246</v>
      </c>
      <c r="G20" s="4">
        <v>900</v>
      </c>
      <c r="H20" s="6">
        <f t="shared" si="0"/>
        <v>520</v>
      </c>
    </row>
    <row r="21" spans="3:8" ht="15.75" thickBot="1">
      <c r="C21" s="10" t="s">
        <v>247</v>
      </c>
      <c r="D21" s="13"/>
      <c r="E21" s="13"/>
      <c r="F21" s="14" t="s">
        <v>248</v>
      </c>
      <c r="G21" s="13">
        <v>380</v>
      </c>
      <c r="H21" s="6">
        <f t="shared" si="0"/>
        <v>140</v>
      </c>
    </row>
    <row r="22" spans="3:8" ht="16.5" thickBot="1">
      <c r="C22" s="63" t="s">
        <v>249</v>
      </c>
      <c r="D22" s="64"/>
      <c r="E22" s="46">
        <f>SUM(E7:E21)</f>
        <v>11800</v>
      </c>
      <c r="F22" s="47" t="s">
        <v>61</v>
      </c>
      <c r="G22" s="48">
        <f>SUM(G10:G21)</f>
        <v>11660</v>
      </c>
      <c r="H22" s="49"/>
    </row>
  </sheetData>
  <mergeCells count="4">
    <mergeCell ref="C4:H4"/>
    <mergeCell ref="C5:E5"/>
    <mergeCell ref="F5:G5"/>
    <mergeCell ref="C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3:K26"/>
  <sheetViews>
    <sheetView topLeftCell="A10" workbookViewId="0">
      <selection activeCell="O22" sqref="O22"/>
    </sheetView>
  </sheetViews>
  <sheetFormatPr defaultRowHeight="15"/>
  <cols>
    <col min="2" max="2" width="19.42578125" customWidth="1"/>
    <col min="3" max="3" width="20.42578125" customWidth="1"/>
  </cols>
  <sheetData>
    <row r="3" spans="2:11" ht="15.75" thickBot="1"/>
    <row r="4" spans="2:11" ht="15.75" thickBot="1">
      <c r="B4" s="70" t="s">
        <v>62</v>
      </c>
      <c r="C4" s="71"/>
      <c r="D4" s="71"/>
      <c r="E4" s="71"/>
      <c r="F4" s="71"/>
      <c r="G4" s="71"/>
      <c r="H4" s="71"/>
      <c r="I4" s="71"/>
      <c r="J4" s="71"/>
      <c r="K4" s="72"/>
    </row>
    <row r="5" spans="2:11" ht="15.75" thickBot="1">
      <c r="B5" s="73" t="s">
        <v>0</v>
      </c>
      <c r="C5" s="75" t="s">
        <v>1</v>
      </c>
      <c r="D5" s="75" t="s">
        <v>2</v>
      </c>
      <c r="E5" s="75" t="s">
        <v>3</v>
      </c>
      <c r="F5" s="75" t="s">
        <v>63</v>
      </c>
      <c r="G5" s="77" t="s">
        <v>64</v>
      </c>
      <c r="H5" s="79" t="s">
        <v>6</v>
      </c>
      <c r="I5" s="80"/>
      <c r="J5" s="70" t="s">
        <v>7</v>
      </c>
      <c r="K5" s="72"/>
    </row>
    <row r="6" spans="2:11" ht="30.75" thickBot="1">
      <c r="B6" s="74"/>
      <c r="C6" s="76"/>
      <c r="D6" s="76"/>
      <c r="E6" s="76"/>
      <c r="F6" s="76"/>
      <c r="G6" s="78"/>
      <c r="H6" s="17" t="s">
        <v>8</v>
      </c>
      <c r="I6" s="17" t="s">
        <v>9</v>
      </c>
      <c r="J6" s="18" t="s">
        <v>10</v>
      </c>
      <c r="K6" s="19" t="s">
        <v>11</v>
      </c>
    </row>
    <row r="7" spans="2:11">
      <c r="B7" s="20" t="s">
        <v>65</v>
      </c>
      <c r="C7" s="1" t="s">
        <v>66</v>
      </c>
      <c r="D7" s="65"/>
      <c r="E7" s="66"/>
      <c r="F7" s="66"/>
      <c r="G7" s="66"/>
      <c r="H7" s="66"/>
      <c r="I7" s="67"/>
      <c r="J7" s="20">
        <v>140</v>
      </c>
      <c r="K7" s="21"/>
    </row>
    <row r="8" spans="2:11" ht="30">
      <c r="B8" s="4" t="s">
        <v>67</v>
      </c>
      <c r="C8" s="5" t="s">
        <v>14</v>
      </c>
      <c r="D8" s="5">
        <v>1000</v>
      </c>
      <c r="E8" s="5"/>
      <c r="F8" s="5"/>
      <c r="G8" s="5"/>
      <c r="H8" s="9" t="s">
        <v>15</v>
      </c>
      <c r="I8" s="5">
        <v>780</v>
      </c>
      <c r="J8" s="5">
        <f>J7+D8-I8</f>
        <v>360</v>
      </c>
      <c r="K8" s="21"/>
    </row>
    <row r="9" spans="2:11" ht="45">
      <c r="B9" s="4" t="s">
        <v>68</v>
      </c>
      <c r="C9" s="5" t="s">
        <v>27</v>
      </c>
      <c r="D9" s="5">
        <v>500</v>
      </c>
      <c r="E9" s="5"/>
      <c r="F9" s="5"/>
      <c r="G9" s="5"/>
      <c r="H9" s="9" t="s">
        <v>69</v>
      </c>
      <c r="I9" s="5">
        <v>210</v>
      </c>
      <c r="J9" s="5">
        <f>J8+D9-I9</f>
        <v>650</v>
      </c>
      <c r="K9" s="21"/>
    </row>
    <row r="10" spans="2:11" ht="45">
      <c r="B10" s="4" t="s">
        <v>70</v>
      </c>
      <c r="C10" s="5" t="s">
        <v>21</v>
      </c>
      <c r="D10" s="5">
        <v>11000</v>
      </c>
      <c r="E10" s="5"/>
      <c r="F10" s="5">
        <v>10000</v>
      </c>
      <c r="G10" s="5"/>
      <c r="H10" s="9" t="s">
        <v>71</v>
      </c>
      <c r="I10" s="5">
        <v>10000</v>
      </c>
      <c r="J10" s="5">
        <f>J9+D10-I10</f>
        <v>1650</v>
      </c>
      <c r="K10" s="5">
        <v>10000</v>
      </c>
    </row>
    <row r="11" spans="2:11" ht="60">
      <c r="B11" s="4" t="s">
        <v>72</v>
      </c>
      <c r="C11" s="5"/>
      <c r="D11" s="5"/>
      <c r="E11" s="5"/>
      <c r="F11" s="5"/>
      <c r="G11" s="5"/>
      <c r="H11" s="9" t="s">
        <v>73</v>
      </c>
      <c r="I11" s="5">
        <v>177</v>
      </c>
      <c r="J11" s="5"/>
      <c r="K11" s="5">
        <f>K10-I11</f>
        <v>9823</v>
      </c>
    </row>
    <row r="12" spans="2:11">
      <c r="B12" s="4" t="s">
        <v>74</v>
      </c>
      <c r="C12" s="5" t="s">
        <v>14</v>
      </c>
      <c r="D12" s="5">
        <v>1100</v>
      </c>
      <c r="E12" s="4"/>
      <c r="F12" s="5">
        <v>1100</v>
      </c>
      <c r="G12" s="5"/>
      <c r="H12" s="9"/>
      <c r="I12" s="5"/>
      <c r="J12" s="5"/>
      <c r="K12" s="5">
        <f>K11+D12</f>
        <v>10923</v>
      </c>
    </row>
    <row r="13" spans="2:11" ht="45">
      <c r="B13" s="4" t="s">
        <v>75</v>
      </c>
      <c r="C13" s="5"/>
      <c r="D13" s="5"/>
      <c r="E13" s="5"/>
      <c r="F13" s="5"/>
      <c r="G13" s="5"/>
      <c r="H13" s="9" t="s">
        <v>76</v>
      </c>
      <c r="I13" s="5">
        <v>240</v>
      </c>
      <c r="J13" s="5">
        <f>J10-I13</f>
        <v>1410</v>
      </c>
      <c r="K13" s="5">
        <v>10923</v>
      </c>
    </row>
    <row r="14" spans="2:11">
      <c r="B14" s="4" t="s">
        <v>77</v>
      </c>
      <c r="C14" s="5" t="s">
        <v>78</v>
      </c>
      <c r="D14" s="5"/>
      <c r="E14" s="5">
        <v>120</v>
      </c>
      <c r="F14" s="5"/>
      <c r="G14" s="5"/>
      <c r="H14" s="9"/>
      <c r="I14" s="5"/>
      <c r="J14" s="5"/>
      <c r="K14" s="5">
        <f>K13+E14-I14</f>
        <v>11043</v>
      </c>
    </row>
    <row r="15" spans="2:11">
      <c r="B15" s="4" t="s">
        <v>79</v>
      </c>
      <c r="C15" s="5" t="s">
        <v>78</v>
      </c>
      <c r="D15" s="5"/>
      <c r="E15" s="5">
        <v>121</v>
      </c>
      <c r="F15" s="5"/>
      <c r="G15" s="5"/>
      <c r="H15" s="9"/>
      <c r="I15" s="5"/>
      <c r="J15" s="5"/>
      <c r="K15" s="5">
        <f>K14+E15-I15</f>
        <v>11164</v>
      </c>
    </row>
    <row r="16" spans="2:11" ht="30">
      <c r="B16" s="4" t="s">
        <v>79</v>
      </c>
      <c r="C16" s="5"/>
      <c r="D16" s="5"/>
      <c r="E16" s="5"/>
      <c r="F16" s="5"/>
      <c r="G16" s="5"/>
      <c r="H16" s="9" t="s">
        <v>80</v>
      </c>
      <c r="I16" s="5">
        <v>10</v>
      </c>
      <c r="J16" s="5"/>
      <c r="K16" s="5">
        <f>K15+E16-I16</f>
        <v>11154</v>
      </c>
    </row>
    <row r="17" spans="2:11">
      <c r="B17" s="4" t="s">
        <v>81</v>
      </c>
      <c r="C17" s="5" t="s">
        <v>78</v>
      </c>
      <c r="D17" s="5"/>
      <c r="E17" s="5">
        <v>333</v>
      </c>
      <c r="F17" s="5"/>
      <c r="G17" s="5"/>
      <c r="H17" s="9"/>
      <c r="I17" s="5"/>
      <c r="J17" s="5"/>
      <c r="K17" s="5">
        <f>K16+E17</f>
        <v>11487</v>
      </c>
    </row>
    <row r="18" spans="2:11">
      <c r="B18" s="4" t="s">
        <v>82</v>
      </c>
      <c r="C18" s="5" t="s">
        <v>78</v>
      </c>
      <c r="D18" s="5"/>
      <c r="E18" s="5">
        <v>111</v>
      </c>
      <c r="F18" s="5"/>
      <c r="G18" s="5"/>
      <c r="H18" s="9"/>
      <c r="I18" s="5"/>
      <c r="J18" s="5"/>
      <c r="K18" s="5">
        <f>K17+E18-I18</f>
        <v>11598</v>
      </c>
    </row>
    <row r="19" spans="2:11" ht="45">
      <c r="B19" s="12" t="s">
        <v>83</v>
      </c>
      <c r="C19" s="5"/>
      <c r="D19" s="5"/>
      <c r="E19" s="5"/>
      <c r="F19" s="5"/>
      <c r="G19" s="5"/>
      <c r="H19" s="9" t="s">
        <v>84</v>
      </c>
      <c r="I19" s="5">
        <v>480</v>
      </c>
      <c r="J19" s="5">
        <f>J13-I19</f>
        <v>930</v>
      </c>
      <c r="K19" s="5">
        <v>11598</v>
      </c>
    </row>
    <row r="20" spans="2:11" ht="30">
      <c r="B20" s="12" t="s">
        <v>85</v>
      </c>
      <c r="C20" s="4"/>
      <c r="D20" s="4"/>
      <c r="E20" s="4"/>
      <c r="F20" s="4"/>
      <c r="G20" s="4"/>
      <c r="H20" s="22" t="s">
        <v>86</v>
      </c>
      <c r="I20" s="4">
        <v>470</v>
      </c>
      <c r="J20" s="4">
        <f>J19-I20</f>
        <v>460</v>
      </c>
      <c r="K20" s="4">
        <v>11598</v>
      </c>
    </row>
    <row r="21" spans="2:11" ht="45.75" thickBot="1">
      <c r="B21" s="13" t="s">
        <v>87</v>
      </c>
      <c r="C21" s="13"/>
      <c r="D21" s="13"/>
      <c r="E21" s="13"/>
      <c r="F21" s="13"/>
      <c r="G21" s="13"/>
      <c r="H21" s="22" t="s">
        <v>88</v>
      </c>
      <c r="I21" s="4">
        <v>454.93</v>
      </c>
      <c r="J21" s="13"/>
      <c r="K21" s="13">
        <f>K18-I21</f>
        <v>11143.07</v>
      </c>
    </row>
    <row r="22" spans="2:11" ht="45.75" thickBot="1">
      <c r="B22" s="58" t="s">
        <v>89</v>
      </c>
      <c r="C22" s="59"/>
      <c r="D22" s="23">
        <f>SUM(D8:D21)</f>
        <v>13600</v>
      </c>
      <c r="E22" s="23">
        <f>SUM(E8:E21)</f>
        <v>685</v>
      </c>
      <c r="F22" s="24"/>
      <c r="G22" s="25"/>
      <c r="H22" s="26" t="s">
        <v>90</v>
      </c>
      <c r="I22">
        <f>SUM(I8:I21)</f>
        <v>12821.93</v>
      </c>
      <c r="J22" s="68"/>
      <c r="K22" s="69"/>
    </row>
    <row r="23" spans="2:11" ht="15.75" thickBot="1">
      <c r="I23" s="27"/>
    </row>
    <row r="26" spans="2:11">
      <c r="E26">
        <f>D22+E22</f>
        <v>14285</v>
      </c>
    </row>
  </sheetData>
  <mergeCells count="12">
    <mergeCell ref="D7:I7"/>
    <mergeCell ref="B22:C22"/>
    <mergeCell ref="J22:K22"/>
    <mergeCell ref="B4:K4"/>
    <mergeCell ref="B5:B6"/>
    <mergeCell ref="C5:C6"/>
    <mergeCell ref="D5:D6"/>
    <mergeCell ref="E5:E6"/>
    <mergeCell ref="F5:F6"/>
    <mergeCell ref="G5:G6"/>
    <mergeCell ref="H5:I5"/>
    <mergeCell ref="J5:K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C2:P29"/>
  <sheetViews>
    <sheetView topLeftCell="A3" workbookViewId="0">
      <selection activeCell="Q16" sqref="Q16"/>
    </sheetView>
  </sheetViews>
  <sheetFormatPr defaultRowHeight="15"/>
  <cols>
    <col min="4" max="4" width="21.42578125" customWidth="1"/>
    <col min="15" max="15" width="15.5703125" customWidth="1"/>
  </cols>
  <sheetData>
    <row r="2" spans="3:16" ht="15.75" thickBot="1"/>
    <row r="3" spans="3:16">
      <c r="C3" s="85" t="s">
        <v>91</v>
      </c>
      <c r="D3" s="86"/>
      <c r="E3" s="86"/>
      <c r="F3" s="86"/>
      <c r="G3" s="86"/>
      <c r="H3" s="86"/>
      <c r="I3" s="86"/>
      <c r="J3" s="86"/>
      <c r="K3" s="86"/>
      <c r="L3" s="87"/>
    </row>
    <row r="4" spans="3:16">
      <c r="C4" s="88" t="s">
        <v>0</v>
      </c>
      <c r="D4" s="90" t="s">
        <v>1</v>
      </c>
      <c r="E4" s="90" t="s">
        <v>2</v>
      </c>
      <c r="F4" s="90" t="s">
        <v>3</v>
      </c>
      <c r="G4" s="90" t="s">
        <v>63</v>
      </c>
      <c r="H4" s="90" t="s">
        <v>92</v>
      </c>
      <c r="I4" s="90" t="s">
        <v>6</v>
      </c>
      <c r="J4" s="90"/>
      <c r="K4" s="90" t="s">
        <v>7</v>
      </c>
      <c r="L4" s="92"/>
    </row>
    <row r="5" spans="3:16" ht="30.75" thickBot="1">
      <c r="C5" s="89"/>
      <c r="D5" s="91"/>
      <c r="E5" s="91"/>
      <c r="F5" s="91"/>
      <c r="G5" s="91"/>
      <c r="H5" s="91"/>
      <c r="I5" s="17" t="s">
        <v>8</v>
      </c>
      <c r="J5" s="17" t="s">
        <v>9</v>
      </c>
      <c r="K5" s="17" t="s">
        <v>10</v>
      </c>
      <c r="L5" s="28" t="s">
        <v>11</v>
      </c>
    </row>
    <row r="6" spans="3:16">
      <c r="C6" s="81" t="s">
        <v>12</v>
      </c>
      <c r="D6" s="82"/>
      <c r="E6" s="82"/>
      <c r="F6" s="82"/>
      <c r="G6" s="82"/>
      <c r="H6" s="82"/>
      <c r="I6" s="82"/>
      <c r="J6" s="82"/>
      <c r="K6" s="29">
        <v>460</v>
      </c>
      <c r="L6" s="30">
        <f>'20-21'!K21</f>
        <v>11143.07</v>
      </c>
    </row>
    <row r="7" spans="3:16">
      <c r="C7" s="3" t="s">
        <v>93</v>
      </c>
      <c r="D7" s="4" t="s">
        <v>14</v>
      </c>
      <c r="E7" s="4">
        <v>1100</v>
      </c>
      <c r="F7" s="4"/>
      <c r="G7" s="4"/>
      <c r="H7" s="4"/>
      <c r="I7" s="4"/>
      <c r="J7" s="4"/>
      <c r="K7" s="4">
        <f>K6+E7</f>
        <v>1560</v>
      </c>
      <c r="L7" s="6">
        <v>11143.07</v>
      </c>
    </row>
    <row r="8" spans="3:16">
      <c r="C8" s="3" t="s">
        <v>94</v>
      </c>
      <c r="D8" s="4"/>
      <c r="E8" s="4"/>
      <c r="F8" s="4"/>
      <c r="G8" s="4"/>
      <c r="H8" s="4"/>
      <c r="I8" s="4" t="s">
        <v>95</v>
      </c>
      <c r="J8" s="4">
        <v>660</v>
      </c>
      <c r="K8" s="4">
        <f>K7-J8</f>
        <v>900</v>
      </c>
      <c r="L8" s="6">
        <v>11143.07</v>
      </c>
    </row>
    <row r="9" spans="3:16">
      <c r="C9" s="3" t="s">
        <v>96</v>
      </c>
      <c r="D9" s="4" t="s">
        <v>97</v>
      </c>
      <c r="E9" s="4"/>
      <c r="F9" s="4">
        <v>1</v>
      </c>
      <c r="G9" s="4"/>
      <c r="H9" s="4"/>
      <c r="I9" s="4"/>
      <c r="J9" s="4"/>
      <c r="K9" s="4">
        <v>900</v>
      </c>
      <c r="L9" s="6">
        <f>L6+F9</f>
        <v>11144.07</v>
      </c>
    </row>
    <row r="10" spans="3:16">
      <c r="C10" s="3" t="s">
        <v>98</v>
      </c>
      <c r="D10" s="4" t="s">
        <v>97</v>
      </c>
      <c r="E10" s="4"/>
      <c r="F10" s="4">
        <v>1</v>
      </c>
      <c r="G10" s="4"/>
      <c r="H10" s="4"/>
      <c r="I10" s="4"/>
      <c r="J10" s="4"/>
      <c r="K10" s="4">
        <v>900</v>
      </c>
      <c r="L10" s="6">
        <f t="shared" ref="L10:L12" si="0">L9+F10</f>
        <v>11145.07</v>
      </c>
    </row>
    <row r="11" spans="3:16">
      <c r="C11" s="3" t="s">
        <v>99</v>
      </c>
      <c r="D11" s="4" t="s">
        <v>100</v>
      </c>
      <c r="E11" s="4"/>
      <c r="F11" s="5">
        <v>1000</v>
      </c>
      <c r="G11" s="4"/>
      <c r="H11" s="4"/>
      <c r="I11" s="4"/>
      <c r="J11" s="4"/>
      <c r="K11" s="4">
        <v>900</v>
      </c>
      <c r="L11" s="6">
        <f t="shared" si="0"/>
        <v>12145.07</v>
      </c>
    </row>
    <row r="12" spans="3:16">
      <c r="C12" s="3" t="s">
        <v>101</v>
      </c>
      <c r="D12" s="4" t="s">
        <v>102</v>
      </c>
      <c r="E12" s="4"/>
      <c r="F12" s="5">
        <v>1000</v>
      </c>
      <c r="G12" s="4"/>
      <c r="H12" s="4"/>
      <c r="I12" s="4"/>
      <c r="J12" s="4"/>
      <c r="K12" s="4">
        <v>900</v>
      </c>
      <c r="L12" s="6">
        <f t="shared" si="0"/>
        <v>13145.07</v>
      </c>
      <c r="N12" s="3"/>
      <c r="O12" s="4"/>
      <c r="P12" s="4"/>
    </row>
    <row r="13" spans="3:16">
      <c r="C13" s="3" t="s">
        <v>103</v>
      </c>
      <c r="D13" s="4" t="s">
        <v>131</v>
      </c>
      <c r="E13" s="4">
        <v>2100</v>
      </c>
      <c r="F13" s="4"/>
      <c r="G13" s="4"/>
      <c r="H13" s="4"/>
      <c r="I13" s="4"/>
      <c r="J13" s="4"/>
      <c r="K13" s="4">
        <f>K8+E13</f>
        <v>3000</v>
      </c>
      <c r="L13" s="6">
        <v>13145.07</v>
      </c>
    </row>
    <row r="14" spans="3:16">
      <c r="C14" s="3" t="s">
        <v>104</v>
      </c>
      <c r="D14" s="4"/>
      <c r="E14" s="4"/>
      <c r="F14" s="4"/>
      <c r="G14" s="4"/>
      <c r="H14" s="4"/>
      <c r="I14" s="4" t="s">
        <v>40</v>
      </c>
      <c r="J14" s="4">
        <v>1650</v>
      </c>
      <c r="K14" s="4">
        <f>K13-J14</f>
        <v>1350</v>
      </c>
      <c r="L14" s="6">
        <v>13145.07</v>
      </c>
    </row>
    <row r="15" spans="3:16">
      <c r="C15" s="3" t="s">
        <v>105</v>
      </c>
      <c r="D15" s="4" t="s">
        <v>14</v>
      </c>
      <c r="E15" s="4">
        <v>1000</v>
      </c>
      <c r="F15" s="4"/>
      <c r="G15" s="4">
        <v>1000</v>
      </c>
      <c r="H15" s="4"/>
      <c r="I15" s="4"/>
      <c r="J15" s="4"/>
      <c r="K15" s="4">
        <v>1350</v>
      </c>
      <c r="L15" s="6">
        <f>L12+E15</f>
        <v>14145.07</v>
      </c>
    </row>
    <row r="16" spans="3:16">
      <c r="C16" s="3" t="s">
        <v>105</v>
      </c>
      <c r="D16" s="4" t="s">
        <v>21</v>
      </c>
      <c r="E16" s="4">
        <v>1000</v>
      </c>
      <c r="F16" s="4"/>
      <c r="G16" s="4">
        <v>1000</v>
      </c>
      <c r="H16" s="4"/>
      <c r="I16" s="4"/>
      <c r="J16" s="4"/>
      <c r="K16" s="4">
        <v>1350</v>
      </c>
      <c r="L16" s="6">
        <f>L15+E16</f>
        <v>15145.07</v>
      </c>
    </row>
    <row r="17" spans="3:12">
      <c r="C17" s="3" t="s">
        <v>106</v>
      </c>
      <c r="D17" s="12" t="s">
        <v>97</v>
      </c>
      <c r="E17" s="4"/>
      <c r="F17" s="4">
        <v>1</v>
      </c>
      <c r="G17" s="4"/>
      <c r="H17" s="4"/>
      <c r="I17" s="4"/>
      <c r="J17" s="4"/>
      <c r="K17" s="4">
        <v>1350</v>
      </c>
      <c r="L17" s="6">
        <f t="shared" ref="L17:L22" si="1">L16+F17</f>
        <v>15146.07</v>
      </c>
    </row>
    <row r="18" spans="3:12">
      <c r="C18" s="3" t="s">
        <v>107</v>
      </c>
      <c r="D18" s="4" t="s">
        <v>108</v>
      </c>
      <c r="E18" s="4">
        <v>2000</v>
      </c>
      <c r="F18" s="4"/>
      <c r="G18" s="4">
        <v>2000</v>
      </c>
      <c r="H18" s="4"/>
      <c r="I18" s="4"/>
      <c r="J18" s="4"/>
      <c r="K18" s="4">
        <v>1350</v>
      </c>
      <c r="L18" s="6">
        <f>L17+E18</f>
        <v>17146.07</v>
      </c>
    </row>
    <row r="19" spans="3:12">
      <c r="C19" s="3" t="s">
        <v>109</v>
      </c>
      <c r="D19" s="4" t="s">
        <v>97</v>
      </c>
      <c r="E19" s="4"/>
      <c r="F19" s="4">
        <v>1</v>
      </c>
      <c r="G19" s="4"/>
      <c r="H19" s="4"/>
      <c r="I19" s="4"/>
      <c r="J19" s="4"/>
      <c r="K19" s="4">
        <v>1350</v>
      </c>
      <c r="L19" s="6">
        <f t="shared" si="1"/>
        <v>17147.07</v>
      </c>
    </row>
    <row r="20" spans="3:12">
      <c r="C20" s="3" t="s">
        <v>110</v>
      </c>
      <c r="D20" s="4" t="s">
        <v>111</v>
      </c>
      <c r="E20" s="4"/>
      <c r="F20" s="4">
        <v>101</v>
      </c>
      <c r="G20" s="4"/>
      <c r="H20" s="4"/>
      <c r="I20" s="4"/>
      <c r="J20" s="4"/>
      <c r="K20" s="4">
        <v>1350</v>
      </c>
      <c r="L20" s="6">
        <f t="shared" si="1"/>
        <v>17248.07</v>
      </c>
    </row>
    <row r="21" spans="3:12">
      <c r="C21" s="3" t="s">
        <v>110</v>
      </c>
      <c r="D21" s="4" t="s">
        <v>111</v>
      </c>
      <c r="E21" s="4"/>
      <c r="F21" s="4">
        <v>101</v>
      </c>
      <c r="G21" s="4"/>
      <c r="H21" s="4"/>
      <c r="I21" s="4"/>
      <c r="J21" s="4"/>
      <c r="K21" s="4">
        <v>1350</v>
      </c>
      <c r="L21" s="6">
        <f t="shared" si="1"/>
        <v>17349.07</v>
      </c>
    </row>
    <row r="22" spans="3:12">
      <c r="C22" s="3" t="s">
        <v>112</v>
      </c>
      <c r="D22" s="4" t="s">
        <v>111</v>
      </c>
      <c r="E22" s="4"/>
      <c r="F22" s="4">
        <v>101</v>
      </c>
      <c r="G22" s="4"/>
      <c r="H22" s="4"/>
      <c r="I22" s="4"/>
      <c r="J22" s="4"/>
      <c r="K22" s="4">
        <v>1350</v>
      </c>
      <c r="L22" s="6">
        <f t="shared" si="1"/>
        <v>17450.07</v>
      </c>
    </row>
    <row r="23" spans="3:12">
      <c r="C23" s="3" t="s">
        <v>113</v>
      </c>
      <c r="D23" s="4"/>
      <c r="E23" s="4"/>
      <c r="F23" s="4"/>
      <c r="G23" s="4"/>
      <c r="H23" s="4"/>
      <c r="I23" s="4" t="s">
        <v>88</v>
      </c>
      <c r="J23" s="4">
        <v>649</v>
      </c>
      <c r="K23" s="4">
        <v>1350</v>
      </c>
      <c r="L23" s="6">
        <f>L22-J23</f>
        <v>16801.07</v>
      </c>
    </row>
    <row r="24" spans="3:12">
      <c r="C24" s="3" t="s">
        <v>114</v>
      </c>
      <c r="D24" s="4" t="s">
        <v>115</v>
      </c>
      <c r="E24" s="4"/>
      <c r="F24" s="4">
        <v>3990</v>
      </c>
      <c r="G24" s="4"/>
      <c r="H24" s="4"/>
      <c r="I24" s="4"/>
      <c r="J24" s="4"/>
      <c r="K24" s="4">
        <v>1350</v>
      </c>
      <c r="L24" s="6">
        <f>L23+F24</f>
        <v>20791.07</v>
      </c>
    </row>
    <row r="25" spans="3:12">
      <c r="C25" s="3" t="s">
        <v>114</v>
      </c>
      <c r="D25" s="4" t="s">
        <v>111</v>
      </c>
      <c r="E25" s="4"/>
      <c r="F25" s="4">
        <v>101</v>
      </c>
      <c r="G25" s="4"/>
      <c r="H25" s="4"/>
      <c r="I25" s="4"/>
      <c r="J25" s="4"/>
      <c r="K25" s="4">
        <v>1350</v>
      </c>
      <c r="L25" s="6">
        <f t="shared" ref="L25:L27" si="2">L24+F25</f>
        <v>20892.07</v>
      </c>
    </row>
    <row r="26" spans="3:12">
      <c r="C26" s="3" t="s">
        <v>116</v>
      </c>
      <c r="D26" s="4" t="s">
        <v>111</v>
      </c>
      <c r="E26" s="4"/>
      <c r="F26" s="4">
        <v>101</v>
      </c>
      <c r="G26" s="4"/>
      <c r="H26" s="4"/>
      <c r="I26" s="4"/>
      <c r="J26" s="4"/>
      <c r="K26" s="4">
        <v>1350</v>
      </c>
      <c r="L26" s="6">
        <f t="shared" si="2"/>
        <v>20993.07</v>
      </c>
    </row>
    <row r="27" spans="3:12">
      <c r="C27" s="3" t="s">
        <v>117</v>
      </c>
      <c r="D27" s="4"/>
      <c r="E27" s="4"/>
      <c r="F27" s="4">
        <v>501</v>
      </c>
      <c r="G27" s="4"/>
      <c r="H27" s="4"/>
      <c r="I27" s="4"/>
      <c r="J27" s="4"/>
      <c r="K27" s="4">
        <v>1350</v>
      </c>
      <c r="L27" s="6">
        <f t="shared" si="2"/>
        <v>21494.07</v>
      </c>
    </row>
    <row r="28" spans="3:12" ht="15.75" thickBot="1">
      <c r="C28" s="10" t="s">
        <v>118</v>
      </c>
      <c r="D28" s="13"/>
      <c r="E28" s="13"/>
      <c r="F28" s="13"/>
      <c r="G28" s="13"/>
      <c r="H28" s="13">
        <v>5000</v>
      </c>
      <c r="I28" s="13" t="s">
        <v>17</v>
      </c>
      <c r="J28" s="13">
        <v>5000</v>
      </c>
      <c r="K28" s="13">
        <v>1350</v>
      </c>
      <c r="L28" s="11">
        <f>L27-J28</f>
        <v>16494.07</v>
      </c>
    </row>
    <row r="29" spans="3:12" ht="15.75" thickBot="1">
      <c r="C29" s="83" t="s">
        <v>119</v>
      </c>
      <c r="D29" s="84"/>
      <c r="E29" s="15">
        <f>SUM(E7:E28)</f>
        <v>7200</v>
      </c>
      <c r="F29" s="15">
        <f>SUM(F7:F28)</f>
        <v>7000</v>
      </c>
      <c r="G29" s="15">
        <f>SUM(G15:G28)</f>
        <v>4000</v>
      </c>
      <c r="H29" s="15">
        <f>SUM(H7:H28)</f>
        <v>5000</v>
      </c>
      <c r="I29" s="15" t="s">
        <v>90</v>
      </c>
      <c r="J29" s="15">
        <f>SUM(J8:J28)</f>
        <v>7959</v>
      </c>
      <c r="K29" s="15"/>
      <c r="L29" s="16"/>
    </row>
  </sheetData>
  <mergeCells count="11">
    <mergeCell ref="C6:J6"/>
    <mergeCell ref="C29:D29"/>
    <mergeCell ref="C3:L3"/>
    <mergeCell ref="C4:C5"/>
    <mergeCell ref="D4:D5"/>
    <mergeCell ref="E4:E5"/>
    <mergeCell ref="F4:F5"/>
    <mergeCell ref="G4:G5"/>
    <mergeCell ref="H4:H5"/>
    <mergeCell ref="I4:J4"/>
    <mergeCell ref="K4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C2:L46"/>
  <sheetViews>
    <sheetView workbookViewId="0">
      <selection activeCell="P16" sqref="P16"/>
    </sheetView>
  </sheetViews>
  <sheetFormatPr defaultRowHeight="15"/>
  <cols>
    <col min="3" max="3" width="16" customWidth="1"/>
    <col min="4" max="4" width="29.85546875" style="50" customWidth="1"/>
    <col min="9" max="9" width="25.5703125" customWidth="1"/>
  </cols>
  <sheetData>
    <row r="2" spans="3:12" ht="15.75" thickBot="1"/>
    <row r="3" spans="3:12" ht="18.75">
      <c r="C3" s="105" t="s">
        <v>120</v>
      </c>
      <c r="D3" s="106"/>
      <c r="E3" s="106"/>
      <c r="F3" s="106"/>
      <c r="G3" s="106"/>
      <c r="H3" s="106"/>
      <c r="I3" s="106"/>
      <c r="J3" s="106"/>
      <c r="K3" s="106"/>
      <c r="L3" s="107"/>
    </row>
    <row r="4" spans="3:12" ht="18.75">
      <c r="C4" s="108" t="s">
        <v>0</v>
      </c>
      <c r="D4" s="93" t="s">
        <v>121</v>
      </c>
      <c r="E4" s="93" t="s">
        <v>2</v>
      </c>
      <c r="F4" s="93" t="s">
        <v>3</v>
      </c>
      <c r="G4" s="93" t="s">
        <v>4</v>
      </c>
      <c r="H4" s="93" t="s">
        <v>5</v>
      </c>
      <c r="I4" s="93" t="s">
        <v>6</v>
      </c>
      <c r="J4" s="93"/>
      <c r="K4" s="93" t="s">
        <v>7</v>
      </c>
      <c r="L4" s="109"/>
    </row>
    <row r="5" spans="3:12" ht="56.25">
      <c r="C5" s="108"/>
      <c r="D5" s="93"/>
      <c r="E5" s="93"/>
      <c r="F5" s="93"/>
      <c r="G5" s="93"/>
      <c r="H5" s="93"/>
      <c r="I5" s="55" t="s">
        <v>8</v>
      </c>
      <c r="J5" s="55" t="s">
        <v>9</v>
      </c>
      <c r="K5" s="55" t="s">
        <v>10</v>
      </c>
      <c r="L5" s="110" t="s">
        <v>11</v>
      </c>
    </row>
    <row r="6" spans="3:12" ht="20.100000000000001" customHeight="1">
      <c r="C6" s="111" t="s">
        <v>12</v>
      </c>
      <c r="D6" s="112"/>
      <c r="E6" s="112"/>
      <c r="F6" s="112"/>
      <c r="G6" s="112"/>
      <c r="H6" s="112"/>
      <c r="I6" s="112"/>
      <c r="J6" s="112"/>
      <c r="K6" s="104">
        <v>1350</v>
      </c>
      <c r="L6" s="113">
        <v>16494.07</v>
      </c>
    </row>
    <row r="7" spans="3:12" ht="20.100000000000001" customHeight="1">
      <c r="C7" s="114" t="s">
        <v>13</v>
      </c>
      <c r="D7" s="115" t="s">
        <v>14</v>
      </c>
      <c r="E7" s="104">
        <v>1000</v>
      </c>
      <c r="F7" s="104"/>
      <c r="G7" s="104"/>
      <c r="H7" s="104"/>
      <c r="I7" s="115"/>
      <c r="J7" s="104"/>
      <c r="K7" s="104">
        <f>K6+E7-J7</f>
        <v>2350</v>
      </c>
      <c r="L7" s="113">
        <f>L6+F7+G7</f>
        <v>16494.07</v>
      </c>
    </row>
    <row r="8" spans="3:12" ht="20.100000000000001" customHeight="1">
      <c r="C8" s="114" t="s">
        <v>122</v>
      </c>
      <c r="D8" s="115"/>
      <c r="E8" s="104"/>
      <c r="F8" s="104"/>
      <c r="G8" s="104"/>
      <c r="H8" s="104"/>
      <c r="I8" s="115" t="s">
        <v>15</v>
      </c>
      <c r="J8" s="104">
        <v>890</v>
      </c>
      <c r="K8" s="104">
        <f t="shared" ref="K8" si="0">K7+E8-J8</f>
        <v>1460</v>
      </c>
      <c r="L8" s="113">
        <f>L7+F7+G7</f>
        <v>16494.07</v>
      </c>
    </row>
    <row r="9" spans="3:12" ht="20.100000000000001" customHeight="1">
      <c r="C9" s="114" t="s">
        <v>16</v>
      </c>
      <c r="D9" s="115"/>
      <c r="E9" s="104"/>
      <c r="F9" s="104"/>
      <c r="G9" s="104"/>
      <c r="H9" s="104">
        <v>5000</v>
      </c>
      <c r="I9" s="115" t="s">
        <v>123</v>
      </c>
      <c r="J9" s="104">
        <v>5000</v>
      </c>
      <c r="K9" s="104">
        <v>1460</v>
      </c>
      <c r="L9" s="113">
        <f>L8+F8+G8-H9</f>
        <v>11494.07</v>
      </c>
    </row>
    <row r="10" spans="3:12" ht="20.100000000000001" customHeight="1">
      <c r="C10" s="114" t="s">
        <v>18</v>
      </c>
      <c r="D10" s="115" t="s">
        <v>19</v>
      </c>
      <c r="E10" s="104"/>
      <c r="F10" s="104">
        <v>2700</v>
      </c>
      <c r="G10" s="104"/>
      <c r="H10" s="104"/>
      <c r="I10" s="115"/>
      <c r="J10" s="104"/>
      <c r="K10" s="104">
        <v>1460</v>
      </c>
      <c r="L10" s="113">
        <f>L9+F10+G10-H10</f>
        <v>14194.07</v>
      </c>
    </row>
    <row r="11" spans="3:12" ht="34.5" customHeight="1">
      <c r="C11" s="114" t="s">
        <v>20</v>
      </c>
      <c r="D11" s="115" t="s">
        <v>124</v>
      </c>
      <c r="E11" s="104">
        <v>11000</v>
      </c>
      <c r="F11" s="104"/>
      <c r="G11" s="104">
        <v>11000</v>
      </c>
      <c r="H11" s="104"/>
      <c r="I11" s="115"/>
      <c r="J11" s="104"/>
      <c r="K11" s="104">
        <v>1460</v>
      </c>
      <c r="L11" s="113">
        <f t="shared" ref="L11:L43" si="1">L10+F11+G11-H11</f>
        <v>25194.07</v>
      </c>
    </row>
    <row r="12" spans="3:12" ht="20.100000000000001" customHeight="1">
      <c r="C12" s="114" t="s">
        <v>22</v>
      </c>
      <c r="D12" s="115" t="s">
        <v>23</v>
      </c>
      <c r="E12" s="104">
        <v>11000</v>
      </c>
      <c r="F12" s="104"/>
      <c r="G12" s="104">
        <v>11000</v>
      </c>
      <c r="H12" s="104"/>
      <c r="I12" s="115"/>
      <c r="J12" s="104"/>
      <c r="K12" s="104">
        <v>1460</v>
      </c>
      <c r="L12" s="113">
        <f t="shared" si="1"/>
        <v>36194.07</v>
      </c>
    </row>
    <row r="13" spans="3:12" ht="20.100000000000001" customHeight="1">
      <c r="C13" s="114" t="s">
        <v>24</v>
      </c>
      <c r="D13" s="115" t="s">
        <v>25</v>
      </c>
      <c r="E13" s="104">
        <v>7800</v>
      </c>
      <c r="F13" s="104"/>
      <c r="G13" s="104">
        <v>7800</v>
      </c>
      <c r="H13" s="104"/>
      <c r="I13" s="115" t="s">
        <v>125</v>
      </c>
      <c r="J13" s="104">
        <v>880</v>
      </c>
      <c r="K13" s="104">
        <v>1460</v>
      </c>
      <c r="L13" s="113">
        <f t="shared" si="1"/>
        <v>43994.07</v>
      </c>
    </row>
    <row r="14" spans="3:12" ht="20.100000000000001" customHeight="1">
      <c r="C14" s="114" t="s">
        <v>26</v>
      </c>
      <c r="D14" s="115" t="s">
        <v>27</v>
      </c>
      <c r="E14" s="104">
        <v>500</v>
      </c>
      <c r="F14" s="104"/>
      <c r="G14" s="104"/>
      <c r="H14" s="104"/>
      <c r="I14" s="115"/>
      <c r="J14" s="104"/>
      <c r="K14" s="104">
        <f>K13+E14-J14</f>
        <v>1960</v>
      </c>
      <c r="L14" s="113">
        <f t="shared" si="1"/>
        <v>43994.07</v>
      </c>
    </row>
    <row r="15" spans="3:12" ht="20.100000000000001" customHeight="1">
      <c r="C15" s="114" t="s">
        <v>126</v>
      </c>
      <c r="D15" s="115" t="s">
        <v>127</v>
      </c>
      <c r="E15" s="104">
        <v>1000</v>
      </c>
      <c r="F15" s="104"/>
      <c r="G15" s="104"/>
      <c r="H15" s="104"/>
      <c r="I15" s="115" t="s">
        <v>128</v>
      </c>
      <c r="J15" s="104">
        <v>1240</v>
      </c>
      <c r="K15" s="104">
        <f>K14+E15-J15</f>
        <v>1720</v>
      </c>
      <c r="L15" s="113">
        <f t="shared" si="1"/>
        <v>43994.07</v>
      </c>
    </row>
    <row r="16" spans="3:12" ht="20.100000000000001" customHeight="1">
      <c r="C16" s="114" t="s">
        <v>28</v>
      </c>
      <c r="D16" s="115" t="s">
        <v>19</v>
      </c>
      <c r="E16" s="104"/>
      <c r="F16" s="104">
        <v>3296</v>
      </c>
      <c r="G16" s="104"/>
      <c r="H16" s="104"/>
      <c r="I16" s="115"/>
      <c r="J16" s="104"/>
      <c r="K16" s="104">
        <v>1720</v>
      </c>
      <c r="L16" s="113">
        <f t="shared" si="1"/>
        <v>47290.07</v>
      </c>
    </row>
    <row r="17" spans="3:12" ht="20.100000000000001" customHeight="1">
      <c r="C17" s="114" t="s">
        <v>29</v>
      </c>
      <c r="D17" s="115" t="s">
        <v>30</v>
      </c>
      <c r="E17" s="104"/>
      <c r="F17" s="104">
        <v>110</v>
      </c>
      <c r="G17" s="104"/>
      <c r="H17" s="104"/>
      <c r="I17" s="115"/>
      <c r="J17" s="104"/>
      <c r="K17" s="104">
        <v>1720</v>
      </c>
      <c r="L17" s="113">
        <f t="shared" si="1"/>
        <v>47400.07</v>
      </c>
    </row>
    <row r="18" spans="3:12" ht="20.100000000000001" customHeight="1">
      <c r="C18" s="114" t="s">
        <v>31</v>
      </c>
      <c r="D18" s="115" t="s">
        <v>19</v>
      </c>
      <c r="E18" s="104"/>
      <c r="F18" s="104">
        <v>3000</v>
      </c>
      <c r="G18" s="104"/>
      <c r="H18" s="104"/>
      <c r="I18" s="115"/>
      <c r="J18" s="104"/>
      <c r="K18" s="104">
        <v>1720</v>
      </c>
      <c r="L18" s="113">
        <f t="shared" si="1"/>
        <v>50400.07</v>
      </c>
    </row>
    <row r="19" spans="3:12" ht="20.100000000000001" customHeight="1">
      <c r="C19" s="114" t="s">
        <v>129</v>
      </c>
      <c r="D19" s="115"/>
      <c r="E19" s="104"/>
      <c r="F19" s="104"/>
      <c r="G19" s="104"/>
      <c r="H19" s="104"/>
      <c r="I19" s="115" t="s">
        <v>130</v>
      </c>
      <c r="J19" s="104">
        <v>870</v>
      </c>
      <c r="K19" s="104">
        <f>K18-J19</f>
        <v>850</v>
      </c>
      <c r="L19" s="113">
        <f t="shared" si="1"/>
        <v>50400.07</v>
      </c>
    </row>
    <row r="20" spans="3:12" ht="20.100000000000001" customHeight="1">
      <c r="C20" s="114" t="s">
        <v>32</v>
      </c>
      <c r="D20" s="115" t="s">
        <v>30</v>
      </c>
      <c r="E20" s="104"/>
      <c r="F20" s="104">
        <v>415</v>
      </c>
      <c r="G20" s="104"/>
      <c r="H20" s="104"/>
      <c r="I20" s="115"/>
      <c r="J20" s="104"/>
      <c r="K20" s="104">
        <v>850</v>
      </c>
      <c r="L20" s="113">
        <f t="shared" si="1"/>
        <v>50815.07</v>
      </c>
    </row>
    <row r="21" spans="3:12" ht="20.100000000000001" customHeight="1">
      <c r="C21" s="114" t="s">
        <v>33</v>
      </c>
      <c r="D21" s="115" t="s">
        <v>121</v>
      </c>
      <c r="E21" s="104"/>
      <c r="F21" s="104"/>
      <c r="G21" s="104"/>
      <c r="H21" s="104">
        <v>11000</v>
      </c>
      <c r="I21" s="115" t="s">
        <v>34</v>
      </c>
      <c r="J21" s="104">
        <v>11000</v>
      </c>
      <c r="K21" s="104">
        <v>850</v>
      </c>
      <c r="L21" s="113">
        <f t="shared" si="1"/>
        <v>39815.07</v>
      </c>
    </row>
    <row r="22" spans="3:12" ht="20.100000000000001" customHeight="1">
      <c r="C22" s="114" t="s">
        <v>35</v>
      </c>
      <c r="D22" s="115" t="s">
        <v>36</v>
      </c>
      <c r="E22" s="104"/>
      <c r="F22" s="104">
        <v>100</v>
      </c>
      <c r="G22" s="104"/>
      <c r="H22" s="104"/>
      <c r="I22" s="115"/>
      <c r="J22" s="104"/>
      <c r="K22" s="104">
        <v>850</v>
      </c>
      <c r="L22" s="113">
        <f t="shared" si="1"/>
        <v>39915.07</v>
      </c>
    </row>
    <row r="23" spans="3:12" ht="20.100000000000001" customHeight="1">
      <c r="C23" s="114" t="s">
        <v>37</v>
      </c>
      <c r="D23" s="115"/>
      <c r="E23" s="104"/>
      <c r="F23" s="104"/>
      <c r="G23" s="104"/>
      <c r="H23" s="104">
        <v>11000</v>
      </c>
      <c r="I23" s="115" t="s">
        <v>34</v>
      </c>
      <c r="J23" s="104">
        <v>11000</v>
      </c>
      <c r="K23" s="104">
        <v>850</v>
      </c>
      <c r="L23" s="113">
        <f t="shared" si="1"/>
        <v>28915.07</v>
      </c>
    </row>
    <row r="24" spans="3:12" ht="20.100000000000001" customHeight="1">
      <c r="C24" s="114" t="s">
        <v>38</v>
      </c>
      <c r="D24" s="115" t="s">
        <v>131</v>
      </c>
      <c r="E24" s="104">
        <v>3000</v>
      </c>
      <c r="F24" s="104"/>
      <c r="G24" s="104"/>
      <c r="H24" s="104"/>
      <c r="I24" s="115"/>
      <c r="J24" s="104"/>
      <c r="K24" s="104">
        <v>3850</v>
      </c>
      <c r="L24" s="113">
        <f t="shared" si="1"/>
        <v>28915.07</v>
      </c>
    </row>
    <row r="25" spans="3:12" ht="20.100000000000001" customHeight="1">
      <c r="C25" s="114" t="s">
        <v>39</v>
      </c>
      <c r="D25" s="115"/>
      <c r="E25" s="104"/>
      <c r="F25" s="104"/>
      <c r="G25" s="104"/>
      <c r="H25" s="104"/>
      <c r="I25" s="115" t="s">
        <v>40</v>
      </c>
      <c r="J25" s="104">
        <v>1800</v>
      </c>
      <c r="K25" s="104">
        <f>K24-J25</f>
        <v>2050</v>
      </c>
      <c r="L25" s="113">
        <f t="shared" si="1"/>
        <v>28915.07</v>
      </c>
    </row>
    <row r="26" spans="3:12" ht="20.100000000000001" customHeight="1">
      <c r="C26" s="114" t="s">
        <v>41</v>
      </c>
      <c r="D26" s="115"/>
      <c r="E26" s="104"/>
      <c r="F26" s="104"/>
      <c r="G26" s="104"/>
      <c r="H26" s="104"/>
      <c r="I26" s="115" t="s">
        <v>42</v>
      </c>
      <c r="J26" s="104">
        <v>880</v>
      </c>
      <c r="K26" s="104">
        <f>K25-J26</f>
        <v>1170</v>
      </c>
      <c r="L26" s="113">
        <f t="shared" si="1"/>
        <v>28915.07</v>
      </c>
    </row>
    <row r="27" spans="3:12" ht="20.100000000000001" customHeight="1">
      <c r="C27" s="114" t="s">
        <v>43</v>
      </c>
      <c r="D27" s="115"/>
      <c r="E27" s="104"/>
      <c r="F27" s="104"/>
      <c r="G27" s="104"/>
      <c r="H27" s="104"/>
      <c r="I27" s="115" t="s">
        <v>44</v>
      </c>
      <c r="J27" s="104">
        <v>3000</v>
      </c>
      <c r="K27" s="104">
        <v>1170</v>
      </c>
      <c r="L27" s="113">
        <f>L26+F27+G27-H27-J27</f>
        <v>25915.07</v>
      </c>
    </row>
    <row r="28" spans="3:12" ht="20.100000000000001" customHeight="1">
      <c r="C28" s="114" t="s">
        <v>45</v>
      </c>
      <c r="D28" s="115" t="s">
        <v>46</v>
      </c>
      <c r="E28" s="104"/>
      <c r="F28" s="104">
        <v>4000</v>
      </c>
      <c r="G28" s="104"/>
      <c r="H28" s="104"/>
      <c r="I28" s="115"/>
      <c r="J28" s="104"/>
      <c r="K28" s="104">
        <v>1170</v>
      </c>
      <c r="L28" s="113">
        <f t="shared" si="1"/>
        <v>29915.07</v>
      </c>
    </row>
    <row r="29" spans="3:12" ht="20.100000000000001" customHeight="1">
      <c r="C29" s="114" t="s">
        <v>45</v>
      </c>
      <c r="D29" s="115" t="s">
        <v>19</v>
      </c>
      <c r="E29" s="104"/>
      <c r="F29" s="104">
        <v>3160</v>
      </c>
      <c r="G29" s="104"/>
      <c r="H29" s="104"/>
      <c r="I29" s="115"/>
      <c r="J29" s="104"/>
      <c r="K29" s="104">
        <v>1170</v>
      </c>
      <c r="L29" s="113">
        <f t="shared" si="1"/>
        <v>33075.07</v>
      </c>
    </row>
    <row r="30" spans="3:12" ht="20.100000000000001" customHeight="1">
      <c r="C30" s="114" t="s">
        <v>132</v>
      </c>
      <c r="D30" s="115"/>
      <c r="E30" s="104"/>
      <c r="F30" s="104"/>
      <c r="G30" s="104"/>
      <c r="H30" s="104"/>
      <c r="I30" s="115" t="s">
        <v>133</v>
      </c>
      <c r="J30" s="104">
        <v>760</v>
      </c>
      <c r="K30" s="104">
        <f>K29-J30</f>
        <v>410</v>
      </c>
      <c r="L30" s="113">
        <f t="shared" si="1"/>
        <v>33075.07</v>
      </c>
    </row>
    <row r="31" spans="3:12" ht="20.100000000000001" customHeight="1">
      <c r="C31" s="114" t="s">
        <v>47</v>
      </c>
      <c r="D31" s="115"/>
      <c r="E31" s="104"/>
      <c r="F31" s="104"/>
      <c r="G31" s="104"/>
      <c r="H31" s="104">
        <v>17000</v>
      </c>
      <c r="I31" s="115"/>
      <c r="J31" s="104"/>
      <c r="K31" s="104">
        <f t="shared" ref="K31:K41" si="2">K30+H31-J31</f>
        <v>17410</v>
      </c>
      <c r="L31" s="113">
        <f t="shared" si="1"/>
        <v>16075.07</v>
      </c>
    </row>
    <row r="32" spans="3:12" ht="20.100000000000001" customHeight="1">
      <c r="C32" s="114" t="s">
        <v>48</v>
      </c>
      <c r="D32" s="115"/>
      <c r="E32" s="104"/>
      <c r="F32" s="104"/>
      <c r="G32" s="104"/>
      <c r="H32" s="104"/>
      <c r="I32" s="115" t="s">
        <v>250</v>
      </c>
      <c r="J32" s="104">
        <v>12000</v>
      </c>
      <c r="K32" s="104">
        <f>K31+H32-J32</f>
        <v>5410</v>
      </c>
      <c r="L32" s="113">
        <f>L31+F32+G32-H32</f>
        <v>16075.07</v>
      </c>
    </row>
    <row r="33" spans="3:12" ht="20.100000000000001" customHeight="1">
      <c r="C33" s="114" t="s">
        <v>49</v>
      </c>
      <c r="D33" s="115"/>
      <c r="E33" s="104"/>
      <c r="F33" s="104"/>
      <c r="G33" s="104"/>
      <c r="H33" s="104"/>
      <c r="I33" s="115" t="s">
        <v>134</v>
      </c>
      <c r="J33" s="104">
        <v>1400</v>
      </c>
      <c r="K33" s="104">
        <f>K32+H33-J33</f>
        <v>4010</v>
      </c>
      <c r="L33" s="113">
        <f>L32+F33+G33-H33</f>
        <v>16075.07</v>
      </c>
    </row>
    <row r="34" spans="3:12" ht="20.100000000000001" customHeight="1">
      <c r="C34" s="114" t="s">
        <v>50</v>
      </c>
      <c r="D34" s="115"/>
      <c r="E34" s="104"/>
      <c r="F34" s="104"/>
      <c r="G34" s="104"/>
      <c r="H34" s="104"/>
      <c r="I34" s="115" t="s">
        <v>51</v>
      </c>
      <c r="J34" s="104">
        <v>2600</v>
      </c>
      <c r="K34" s="104">
        <f>K33+H34-J34</f>
        <v>1410</v>
      </c>
      <c r="L34" s="113">
        <f>L33+F34+G34-H34</f>
        <v>16075.07</v>
      </c>
    </row>
    <row r="35" spans="3:12" ht="20.100000000000001" customHeight="1">
      <c r="C35" s="114" t="s">
        <v>52</v>
      </c>
      <c r="D35" s="115"/>
      <c r="E35" s="104"/>
      <c r="F35" s="104"/>
      <c r="G35" s="104"/>
      <c r="H35" s="104"/>
      <c r="I35" s="115" t="s">
        <v>53</v>
      </c>
      <c r="J35" s="104">
        <v>560</v>
      </c>
      <c r="K35" s="104">
        <f t="shared" si="2"/>
        <v>850</v>
      </c>
      <c r="L35" s="113">
        <f t="shared" si="1"/>
        <v>16075.07</v>
      </c>
    </row>
    <row r="36" spans="3:12" ht="20.100000000000001" customHeight="1">
      <c r="C36" s="114" t="s">
        <v>54</v>
      </c>
      <c r="D36" s="115" t="s">
        <v>135</v>
      </c>
      <c r="E36" s="104"/>
      <c r="F36" s="104">
        <v>2600</v>
      </c>
      <c r="G36" s="104"/>
      <c r="H36" s="104"/>
      <c r="I36" s="115" t="s">
        <v>136</v>
      </c>
      <c r="J36" s="104">
        <v>180</v>
      </c>
      <c r="K36" s="104">
        <f t="shared" si="2"/>
        <v>670</v>
      </c>
      <c r="L36" s="113">
        <f t="shared" si="1"/>
        <v>18675.07</v>
      </c>
    </row>
    <row r="37" spans="3:12" ht="20.100000000000001" customHeight="1">
      <c r="C37" s="114" t="s">
        <v>55</v>
      </c>
      <c r="D37" s="115"/>
      <c r="E37" s="104"/>
      <c r="F37" s="104"/>
      <c r="G37" s="104"/>
      <c r="H37" s="104">
        <v>17000</v>
      </c>
      <c r="I37" s="115"/>
      <c r="J37" s="104"/>
      <c r="K37" s="104">
        <f t="shared" si="2"/>
        <v>17670</v>
      </c>
      <c r="L37" s="113">
        <f t="shared" si="1"/>
        <v>1675.0699999999997</v>
      </c>
    </row>
    <row r="38" spans="3:12" ht="20.100000000000001" customHeight="1">
      <c r="C38" s="114" t="s">
        <v>56</v>
      </c>
      <c r="D38" s="115"/>
      <c r="E38" s="104"/>
      <c r="F38" s="104"/>
      <c r="G38" s="104"/>
      <c r="H38" s="104"/>
      <c r="I38" s="115" t="s">
        <v>17</v>
      </c>
      <c r="J38" s="104">
        <v>7800</v>
      </c>
      <c r="K38" s="104">
        <f t="shared" si="2"/>
        <v>9870</v>
      </c>
      <c r="L38" s="113">
        <f t="shared" si="1"/>
        <v>1675.0699999999997</v>
      </c>
    </row>
    <row r="39" spans="3:12" ht="20.100000000000001" customHeight="1">
      <c r="C39" s="114" t="s">
        <v>56</v>
      </c>
      <c r="D39" s="115"/>
      <c r="E39" s="104"/>
      <c r="F39" s="104"/>
      <c r="G39" s="104"/>
      <c r="H39" s="104"/>
      <c r="I39" s="115" t="s">
        <v>17</v>
      </c>
      <c r="J39" s="104">
        <v>4000</v>
      </c>
      <c r="K39" s="104">
        <f t="shared" si="2"/>
        <v>5870</v>
      </c>
      <c r="L39" s="113">
        <f t="shared" si="1"/>
        <v>1675.0699999999997</v>
      </c>
    </row>
    <row r="40" spans="3:12" ht="20.100000000000001" customHeight="1">
      <c r="C40" s="114" t="s">
        <v>56</v>
      </c>
      <c r="D40" s="115"/>
      <c r="E40" s="104"/>
      <c r="F40" s="104"/>
      <c r="G40" s="104"/>
      <c r="H40" s="104"/>
      <c r="I40" s="115" t="s">
        <v>58</v>
      </c>
      <c r="J40" s="104">
        <v>1300</v>
      </c>
      <c r="K40" s="104">
        <f t="shared" si="2"/>
        <v>4570</v>
      </c>
      <c r="L40" s="113">
        <f t="shared" si="1"/>
        <v>1675.0699999999997</v>
      </c>
    </row>
    <row r="41" spans="3:12" ht="20.100000000000001" customHeight="1">
      <c r="C41" s="114" t="s">
        <v>59</v>
      </c>
      <c r="D41" s="115"/>
      <c r="E41" s="104"/>
      <c r="F41" s="104"/>
      <c r="G41" s="104"/>
      <c r="H41" s="104"/>
      <c r="I41" s="115" t="s">
        <v>44</v>
      </c>
      <c r="J41" s="104">
        <v>2000</v>
      </c>
      <c r="K41" s="104">
        <f t="shared" si="2"/>
        <v>2570</v>
      </c>
      <c r="L41" s="113">
        <f t="shared" si="1"/>
        <v>1675.0699999999997</v>
      </c>
    </row>
    <row r="42" spans="3:12" ht="20.100000000000001" customHeight="1">
      <c r="C42" s="114" t="s">
        <v>60</v>
      </c>
      <c r="D42" s="115"/>
      <c r="E42" s="104"/>
      <c r="F42" s="104"/>
      <c r="G42" s="104"/>
      <c r="H42" s="104">
        <v>649</v>
      </c>
      <c r="I42" s="115"/>
      <c r="J42" s="104"/>
      <c r="K42" s="104">
        <v>2570</v>
      </c>
      <c r="L42" s="113">
        <f t="shared" si="1"/>
        <v>1026.0699999999997</v>
      </c>
    </row>
    <row r="43" spans="3:12" ht="20.100000000000001" customHeight="1" thickBot="1">
      <c r="C43" s="116" t="s">
        <v>137</v>
      </c>
      <c r="D43" s="117" t="s">
        <v>19</v>
      </c>
      <c r="E43" s="118"/>
      <c r="F43" s="118">
        <v>3000</v>
      </c>
      <c r="G43" s="118"/>
      <c r="H43" s="118"/>
      <c r="I43" s="117"/>
      <c r="J43" s="118"/>
      <c r="K43" s="118">
        <v>2570</v>
      </c>
      <c r="L43" s="119">
        <f t="shared" si="1"/>
        <v>4026.0699999999997</v>
      </c>
    </row>
    <row r="46" spans="3:12">
      <c r="F46">
        <f>E44+F44</f>
        <v>0</v>
      </c>
    </row>
  </sheetData>
  <mergeCells count="10">
    <mergeCell ref="C6:J6"/>
    <mergeCell ref="C3:L3"/>
    <mergeCell ref="C4:C5"/>
    <mergeCell ref="D4:D5"/>
    <mergeCell ref="E4:E5"/>
    <mergeCell ref="F4:F5"/>
    <mergeCell ref="G4:G5"/>
    <mergeCell ref="H4:H5"/>
    <mergeCell ref="I4:J4"/>
    <mergeCell ref="K4:L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D5:M29"/>
  <sheetViews>
    <sheetView topLeftCell="A16" workbookViewId="0">
      <selection activeCell="J40" sqref="J40"/>
    </sheetView>
  </sheetViews>
  <sheetFormatPr defaultRowHeight="15"/>
  <cols>
    <col min="5" max="5" width="20.85546875" customWidth="1"/>
    <col min="10" max="10" width="25.140625" customWidth="1"/>
  </cols>
  <sheetData>
    <row r="5" spans="4:13" ht="15.75">
      <c r="D5" s="120" t="s">
        <v>0</v>
      </c>
      <c r="E5" s="99" t="s">
        <v>121</v>
      </c>
      <c r="F5" s="99" t="s">
        <v>2</v>
      </c>
      <c r="G5" s="99" t="s">
        <v>3</v>
      </c>
      <c r="H5" s="99" t="s">
        <v>4</v>
      </c>
      <c r="I5" s="99" t="s">
        <v>5</v>
      </c>
      <c r="J5" s="99" t="s">
        <v>6</v>
      </c>
      <c r="K5" s="99"/>
      <c r="L5" s="99" t="s">
        <v>7</v>
      </c>
      <c r="M5" s="121"/>
    </row>
    <row r="6" spans="4:13" ht="32.25" thickBot="1">
      <c r="D6" s="122"/>
      <c r="E6" s="100"/>
      <c r="F6" s="100"/>
      <c r="G6" s="100"/>
      <c r="H6" s="100"/>
      <c r="I6" s="100"/>
      <c r="J6" s="57" t="s">
        <v>8</v>
      </c>
      <c r="K6" s="57" t="s">
        <v>9</v>
      </c>
      <c r="L6" s="57" t="s">
        <v>10</v>
      </c>
      <c r="M6" s="123" t="s">
        <v>11</v>
      </c>
    </row>
    <row r="7" spans="4:13" ht="16.5" thickBot="1">
      <c r="D7" s="34"/>
      <c r="E7" s="124"/>
      <c r="F7" s="125"/>
      <c r="G7" s="125"/>
      <c r="H7" s="125"/>
      <c r="I7" s="125"/>
      <c r="J7" s="124" t="s">
        <v>12</v>
      </c>
      <c r="K7" s="125"/>
      <c r="L7" s="125">
        <f>'22-23'!K43</f>
        <v>2570</v>
      </c>
      <c r="M7" s="126">
        <f>'22-23'!L43</f>
        <v>4026.0699999999997</v>
      </c>
    </row>
    <row r="8" spans="4:13" ht="32.25" thickBot="1">
      <c r="D8" s="127" t="s">
        <v>138</v>
      </c>
      <c r="E8" s="124" t="s">
        <v>127</v>
      </c>
      <c r="F8" s="125">
        <v>1000</v>
      </c>
      <c r="G8" s="125"/>
      <c r="H8" s="125"/>
      <c r="I8" s="125"/>
      <c r="J8" s="124" t="s">
        <v>139</v>
      </c>
      <c r="K8" s="125">
        <v>2170</v>
      </c>
      <c r="L8" s="125">
        <f>L7+F8-K8</f>
        <v>1400</v>
      </c>
      <c r="M8" s="126">
        <v>4026.07</v>
      </c>
    </row>
    <row r="9" spans="4:13" ht="16.5" thickBot="1">
      <c r="D9" s="127" t="s">
        <v>140</v>
      </c>
      <c r="E9" s="124"/>
      <c r="F9" s="34"/>
      <c r="G9" s="125"/>
      <c r="H9" s="125"/>
      <c r="I9" s="125"/>
      <c r="J9" s="124" t="s">
        <v>141</v>
      </c>
      <c r="K9" s="125">
        <v>980</v>
      </c>
      <c r="L9" s="125">
        <f t="shared" ref="L9:L10" si="0">L8+F9-K9</f>
        <v>420</v>
      </c>
      <c r="M9" s="126">
        <v>4026.07</v>
      </c>
    </row>
    <row r="10" spans="4:13" ht="16.5" thickBot="1">
      <c r="D10" s="127" t="s">
        <v>142</v>
      </c>
      <c r="E10" s="124" t="s">
        <v>143</v>
      </c>
      <c r="F10" s="125">
        <v>1100</v>
      </c>
      <c r="G10" s="125"/>
      <c r="H10" s="125"/>
      <c r="I10" s="125"/>
      <c r="J10" s="124" t="s">
        <v>144</v>
      </c>
      <c r="K10" s="125">
        <v>1230</v>
      </c>
      <c r="L10" s="125">
        <f t="shared" si="0"/>
        <v>290</v>
      </c>
      <c r="M10" s="126">
        <v>4026.07</v>
      </c>
    </row>
    <row r="11" spans="4:13" ht="16.5" thickBot="1">
      <c r="D11" s="128" t="s">
        <v>145</v>
      </c>
      <c r="E11" s="44"/>
      <c r="F11" s="44"/>
      <c r="G11" s="44"/>
      <c r="H11" s="44"/>
      <c r="I11" s="44">
        <v>590</v>
      </c>
      <c r="J11" s="44" t="s">
        <v>146</v>
      </c>
      <c r="K11" s="44"/>
      <c r="L11" s="44">
        <v>290</v>
      </c>
      <c r="M11" s="126">
        <f>M10-I11</f>
        <v>3436.07</v>
      </c>
    </row>
    <row r="12" spans="4:13" ht="16.5" thickBot="1">
      <c r="D12" s="128" t="s">
        <v>147</v>
      </c>
      <c r="E12" s="44"/>
      <c r="F12" s="44"/>
      <c r="G12" s="44"/>
      <c r="H12" s="44"/>
      <c r="I12" s="44">
        <v>590</v>
      </c>
      <c r="J12" s="44" t="s">
        <v>146</v>
      </c>
      <c r="K12" s="44"/>
      <c r="L12" s="44">
        <v>290</v>
      </c>
      <c r="M12" s="126">
        <f t="shared" ref="M12:M13" si="1">M11+H12-I12</f>
        <v>2846.07</v>
      </c>
    </row>
    <row r="13" spans="4:13" ht="16.5" thickBot="1">
      <c r="D13" s="128" t="s">
        <v>148</v>
      </c>
      <c r="E13" s="44"/>
      <c r="F13" s="44"/>
      <c r="G13" s="44"/>
      <c r="H13" s="44"/>
      <c r="I13" s="44">
        <v>590</v>
      </c>
      <c r="J13" s="44" t="s">
        <v>146</v>
      </c>
      <c r="K13" s="129"/>
      <c r="L13" s="44">
        <v>290</v>
      </c>
      <c r="M13" s="126">
        <f t="shared" si="1"/>
        <v>2256.0700000000002</v>
      </c>
    </row>
    <row r="14" spans="4:13" ht="16.5" thickBot="1">
      <c r="D14" s="128" t="s">
        <v>149</v>
      </c>
      <c r="E14" s="44" t="s">
        <v>57</v>
      </c>
      <c r="F14" s="44">
        <v>10000</v>
      </c>
      <c r="G14" s="44"/>
      <c r="H14" s="44">
        <v>10000</v>
      </c>
      <c r="I14" s="44"/>
      <c r="J14" s="44"/>
      <c r="K14" s="44"/>
      <c r="L14" s="44">
        <v>290</v>
      </c>
      <c r="M14" s="126">
        <f>M13+H14-I14</f>
        <v>12256.07</v>
      </c>
    </row>
    <row r="15" spans="4:13" ht="16.5" thickBot="1">
      <c r="D15" s="128" t="s">
        <v>150</v>
      </c>
      <c r="E15" s="44"/>
      <c r="F15" s="44"/>
      <c r="G15" s="44"/>
      <c r="H15" s="44">
        <v>0</v>
      </c>
      <c r="I15" s="44">
        <v>5000</v>
      </c>
      <c r="J15" s="44" t="s">
        <v>17</v>
      </c>
      <c r="K15" s="44">
        <v>5000</v>
      </c>
      <c r="L15" s="44">
        <v>290</v>
      </c>
      <c r="M15" s="126">
        <f t="shared" ref="M15:M29" si="2">M14+H15-I15</f>
        <v>7256.07</v>
      </c>
    </row>
    <row r="16" spans="4:13" ht="16.5" thickBot="1">
      <c r="D16" s="128" t="s">
        <v>151</v>
      </c>
      <c r="E16" s="44"/>
      <c r="F16" s="44"/>
      <c r="G16" s="44"/>
      <c r="H16" s="44">
        <v>30</v>
      </c>
      <c r="I16" s="44"/>
      <c r="J16" s="44"/>
      <c r="K16" s="44"/>
      <c r="L16" s="44">
        <v>290</v>
      </c>
      <c r="M16" s="126">
        <f t="shared" si="2"/>
        <v>7286.07</v>
      </c>
    </row>
    <row r="17" spans="4:13" ht="16.5" thickBot="1">
      <c r="D17" s="128" t="s">
        <v>152</v>
      </c>
      <c r="E17" s="44"/>
      <c r="F17" s="44"/>
      <c r="G17" s="44"/>
      <c r="H17" s="44">
        <v>370</v>
      </c>
      <c r="I17" s="44"/>
      <c r="J17" s="44"/>
      <c r="K17" s="44"/>
      <c r="L17" s="44">
        <v>290</v>
      </c>
      <c r="M17" s="126">
        <f t="shared" si="2"/>
        <v>7656.07</v>
      </c>
    </row>
    <row r="18" spans="4:13" ht="16.5" thickBot="1">
      <c r="D18" s="128" t="s">
        <v>126</v>
      </c>
      <c r="E18" s="44" t="s">
        <v>127</v>
      </c>
      <c r="F18" s="44">
        <v>1000</v>
      </c>
      <c r="G18" s="44"/>
      <c r="H18" s="44"/>
      <c r="I18" s="44"/>
      <c r="J18" s="44" t="s">
        <v>153</v>
      </c>
      <c r="K18" s="44">
        <v>760</v>
      </c>
      <c r="L18" s="44">
        <f>L17+F18-K18</f>
        <v>530</v>
      </c>
      <c r="M18" s="126">
        <f t="shared" si="2"/>
        <v>7656.07</v>
      </c>
    </row>
    <row r="19" spans="4:13" ht="16.5" thickBot="1">
      <c r="D19" s="128" t="s">
        <v>154</v>
      </c>
      <c r="E19" s="44"/>
      <c r="F19" s="44"/>
      <c r="G19" s="44"/>
      <c r="H19" s="44"/>
      <c r="I19" s="44">
        <v>5000</v>
      </c>
      <c r="J19" s="44" t="s">
        <v>17</v>
      </c>
      <c r="K19" s="44">
        <v>5000</v>
      </c>
      <c r="L19" s="44">
        <v>530</v>
      </c>
      <c r="M19" s="126">
        <f t="shared" si="2"/>
        <v>2656.0699999999997</v>
      </c>
    </row>
    <row r="20" spans="4:13" ht="16.5" thickBot="1">
      <c r="D20" s="128" t="s">
        <v>155</v>
      </c>
      <c r="E20" s="44"/>
      <c r="F20" s="44"/>
      <c r="G20" s="44"/>
      <c r="H20" s="44"/>
      <c r="I20" s="44">
        <v>590</v>
      </c>
      <c r="J20" s="44" t="s">
        <v>146</v>
      </c>
      <c r="K20" s="44"/>
      <c r="L20" s="44">
        <v>530</v>
      </c>
      <c r="M20" s="126">
        <f t="shared" si="2"/>
        <v>2066.0699999999997</v>
      </c>
    </row>
    <row r="21" spans="4:13" ht="16.5" thickBot="1">
      <c r="D21" s="128" t="s">
        <v>156</v>
      </c>
      <c r="E21" s="44"/>
      <c r="F21" s="44"/>
      <c r="G21" s="44"/>
      <c r="H21" s="44"/>
      <c r="I21" s="44">
        <v>590</v>
      </c>
      <c r="J21" s="44" t="s">
        <v>146</v>
      </c>
      <c r="K21" s="44"/>
      <c r="L21" s="44">
        <v>530</v>
      </c>
      <c r="M21" s="126">
        <f t="shared" si="2"/>
        <v>1476.0699999999997</v>
      </c>
    </row>
    <row r="22" spans="4:13" ht="16.5" thickBot="1">
      <c r="D22" s="128" t="s">
        <v>157</v>
      </c>
      <c r="E22" s="44"/>
      <c r="F22" s="44"/>
      <c r="G22" s="44"/>
      <c r="H22" s="44"/>
      <c r="I22" s="44"/>
      <c r="J22" s="44" t="s">
        <v>130</v>
      </c>
      <c r="K22" s="44">
        <v>180</v>
      </c>
      <c r="L22" s="44">
        <f>L21-K22</f>
        <v>350</v>
      </c>
      <c r="M22" s="126">
        <f t="shared" si="2"/>
        <v>1476.0699999999997</v>
      </c>
    </row>
    <row r="23" spans="4:13" ht="16.5" thickBot="1">
      <c r="D23" s="128" t="s">
        <v>158</v>
      </c>
      <c r="E23" s="44"/>
      <c r="F23" s="44"/>
      <c r="G23" s="44"/>
      <c r="H23" s="44"/>
      <c r="I23" s="44">
        <v>590</v>
      </c>
      <c r="J23" s="44" t="s">
        <v>146</v>
      </c>
      <c r="K23" s="44"/>
      <c r="L23" s="44">
        <v>350</v>
      </c>
      <c r="M23" s="126">
        <f t="shared" si="2"/>
        <v>886.06999999999971</v>
      </c>
    </row>
    <row r="24" spans="4:13" ht="16.5" thickBot="1">
      <c r="D24" s="128" t="s">
        <v>159</v>
      </c>
      <c r="E24" s="44" t="s">
        <v>127</v>
      </c>
      <c r="F24" s="44">
        <v>500</v>
      </c>
      <c r="G24" s="44">
        <f>SUM(F24)</f>
        <v>500</v>
      </c>
      <c r="H24" s="44"/>
      <c r="I24" s="44"/>
      <c r="J24" s="44" t="s">
        <v>160</v>
      </c>
      <c r="K24" s="44">
        <v>770</v>
      </c>
      <c r="L24" s="44">
        <f>L23+F24-K24</f>
        <v>80</v>
      </c>
      <c r="M24" s="126">
        <f t="shared" si="2"/>
        <v>886.06999999999971</v>
      </c>
    </row>
    <row r="25" spans="4:13" ht="16.5" thickBot="1">
      <c r="D25" s="128" t="s">
        <v>161</v>
      </c>
      <c r="E25" s="44" t="s">
        <v>162</v>
      </c>
      <c r="F25" s="44"/>
      <c r="G25" s="44">
        <v>10000</v>
      </c>
      <c r="H25" s="44">
        <v>10000</v>
      </c>
      <c r="I25" s="44"/>
      <c r="J25" s="44"/>
      <c r="K25" s="44"/>
      <c r="L25" s="44">
        <v>80</v>
      </c>
      <c r="M25" s="126">
        <f t="shared" si="2"/>
        <v>10886.07</v>
      </c>
    </row>
    <row r="26" spans="4:13" ht="16.5" thickBot="1">
      <c r="D26" s="128" t="s">
        <v>163</v>
      </c>
      <c r="E26" s="44" t="s">
        <v>164</v>
      </c>
      <c r="F26" s="44"/>
      <c r="G26" s="44"/>
      <c r="H26" s="44"/>
      <c r="I26" s="44">
        <v>10000</v>
      </c>
      <c r="J26" s="44" t="s">
        <v>17</v>
      </c>
      <c r="K26" s="44">
        <v>10000</v>
      </c>
      <c r="L26" s="44">
        <v>80</v>
      </c>
      <c r="M26" s="126">
        <f t="shared" si="2"/>
        <v>886.06999999999971</v>
      </c>
    </row>
    <row r="27" spans="4:13" ht="16.5" thickBot="1">
      <c r="D27" s="128" t="s">
        <v>165</v>
      </c>
      <c r="E27" s="44" t="s">
        <v>166</v>
      </c>
      <c r="F27" s="44">
        <v>1000</v>
      </c>
      <c r="G27" s="44"/>
      <c r="H27" s="44"/>
      <c r="I27" s="44"/>
      <c r="J27" s="44" t="s">
        <v>133</v>
      </c>
      <c r="K27" s="44">
        <v>610</v>
      </c>
      <c r="L27" s="44">
        <f>L26+F27-K27</f>
        <v>470</v>
      </c>
      <c r="M27" s="126">
        <f t="shared" si="2"/>
        <v>886.06999999999971</v>
      </c>
    </row>
    <row r="28" spans="4:13" ht="16.5" thickBot="1">
      <c r="D28" s="128" t="s">
        <v>167</v>
      </c>
      <c r="E28" s="44"/>
      <c r="F28" s="44"/>
      <c r="G28" s="44"/>
      <c r="H28" s="44"/>
      <c r="I28" s="44">
        <v>590</v>
      </c>
      <c r="J28" s="44" t="s">
        <v>146</v>
      </c>
      <c r="K28" s="44"/>
      <c r="L28" s="44">
        <v>470</v>
      </c>
      <c r="M28" s="126">
        <f t="shared" si="2"/>
        <v>296.06999999999971</v>
      </c>
    </row>
    <row r="29" spans="4:13" ht="16.5" thickBot="1">
      <c r="D29" s="130" t="s">
        <v>168</v>
      </c>
      <c r="E29" s="131"/>
      <c r="F29" s="131"/>
      <c r="G29" s="131"/>
      <c r="H29" s="131"/>
      <c r="I29" s="131">
        <v>296.07</v>
      </c>
      <c r="J29" s="44" t="s">
        <v>146</v>
      </c>
      <c r="K29" s="131"/>
      <c r="L29" s="44">
        <v>470</v>
      </c>
      <c r="M29" s="126">
        <f t="shared" si="2"/>
        <v>0</v>
      </c>
    </row>
  </sheetData>
  <mergeCells count="8">
    <mergeCell ref="J5:K5"/>
    <mergeCell ref="L5:M5"/>
    <mergeCell ref="D5:D6"/>
    <mergeCell ref="E5:E6"/>
    <mergeCell ref="F5:F6"/>
    <mergeCell ref="G5:G6"/>
    <mergeCell ref="H5:H6"/>
    <mergeCell ref="I5:I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C2:L30"/>
  <sheetViews>
    <sheetView topLeftCell="A19" workbookViewId="0">
      <selection activeCell="G40" sqref="G40"/>
    </sheetView>
  </sheetViews>
  <sheetFormatPr defaultRowHeight="15"/>
  <cols>
    <col min="9" max="9" width="28" customWidth="1"/>
  </cols>
  <sheetData>
    <row r="2" spans="3:12" ht="15.75" thickBot="1"/>
    <row r="3" spans="3:12" ht="15.75" thickBot="1">
      <c r="C3" s="73" t="s">
        <v>169</v>
      </c>
      <c r="D3" s="75"/>
      <c r="E3" s="75"/>
      <c r="F3" s="75"/>
      <c r="G3" s="75"/>
      <c r="H3" s="75"/>
      <c r="I3" s="75"/>
      <c r="J3" s="75"/>
      <c r="K3" s="75"/>
      <c r="L3" s="77"/>
    </row>
    <row r="4" spans="3:12" ht="15.75">
      <c r="C4" s="133" t="s">
        <v>0</v>
      </c>
      <c r="D4" s="132" t="s">
        <v>121</v>
      </c>
      <c r="E4" s="132" t="s">
        <v>2</v>
      </c>
      <c r="F4" s="132" t="s">
        <v>3</v>
      </c>
      <c r="G4" s="132" t="s">
        <v>4</v>
      </c>
      <c r="H4" s="132" t="s">
        <v>5</v>
      </c>
      <c r="I4" s="132" t="s">
        <v>6</v>
      </c>
      <c r="J4" s="132"/>
      <c r="K4" s="132" t="s">
        <v>7</v>
      </c>
      <c r="L4" s="134"/>
    </row>
    <row r="5" spans="3:12" ht="31.5">
      <c r="C5" s="120"/>
      <c r="D5" s="99"/>
      <c r="E5" s="99"/>
      <c r="F5" s="99"/>
      <c r="G5" s="99"/>
      <c r="H5" s="99"/>
      <c r="I5" s="56" t="s">
        <v>8</v>
      </c>
      <c r="J5" s="56" t="s">
        <v>9</v>
      </c>
      <c r="K5" s="56" t="s">
        <v>10</v>
      </c>
      <c r="L5" s="135" t="s">
        <v>11</v>
      </c>
    </row>
    <row r="6" spans="3:12">
      <c r="C6" s="128"/>
      <c r="D6" s="44"/>
      <c r="E6" s="44"/>
      <c r="F6" s="44"/>
      <c r="G6" s="44"/>
      <c r="H6" s="44"/>
      <c r="I6" s="44" t="s">
        <v>12</v>
      </c>
      <c r="J6" s="44"/>
      <c r="K6" s="44">
        <f>'23-24'!L29</f>
        <v>470</v>
      </c>
      <c r="L6" s="136">
        <f>'[1]23-24'!L26</f>
        <v>0</v>
      </c>
    </row>
    <row r="7" spans="3:12">
      <c r="C7" s="7" t="s">
        <v>170</v>
      </c>
      <c r="D7" s="5" t="s">
        <v>143</v>
      </c>
      <c r="E7" s="5">
        <v>1100</v>
      </c>
      <c r="F7" s="5"/>
      <c r="G7" s="5"/>
      <c r="H7" s="5"/>
      <c r="I7" s="5" t="s">
        <v>160</v>
      </c>
      <c r="J7" s="5">
        <v>780</v>
      </c>
      <c r="K7" s="5">
        <f>K6+E7-J7</f>
        <v>790</v>
      </c>
      <c r="L7" s="8"/>
    </row>
    <row r="8" spans="3:12">
      <c r="C8" s="7" t="s">
        <v>171</v>
      </c>
      <c r="D8" s="5" t="s">
        <v>166</v>
      </c>
      <c r="E8" s="5">
        <v>500</v>
      </c>
      <c r="F8" s="5"/>
      <c r="G8" s="5"/>
      <c r="H8" s="5"/>
      <c r="I8" s="5" t="s">
        <v>15</v>
      </c>
      <c r="J8" s="5">
        <v>870</v>
      </c>
      <c r="K8" s="5">
        <f t="shared" ref="K8:K9" si="0">K7+E8-J8</f>
        <v>420</v>
      </c>
      <c r="L8" s="8"/>
    </row>
    <row r="9" spans="3:12">
      <c r="C9" s="7" t="s">
        <v>172</v>
      </c>
      <c r="D9" s="5" t="s">
        <v>14</v>
      </c>
      <c r="E9" s="5">
        <v>1000</v>
      </c>
      <c r="F9" s="5"/>
      <c r="G9" s="5"/>
      <c r="H9" s="5"/>
      <c r="I9" s="5" t="s">
        <v>173</v>
      </c>
      <c r="J9" s="5">
        <v>1120</v>
      </c>
      <c r="K9" s="5">
        <f t="shared" si="0"/>
        <v>300</v>
      </c>
      <c r="L9" s="8"/>
    </row>
    <row r="10" spans="3:12">
      <c r="C10" s="7" t="s">
        <v>174</v>
      </c>
      <c r="D10" s="5" t="s">
        <v>175</v>
      </c>
      <c r="E10" s="5"/>
      <c r="F10" s="5">
        <f>G10</f>
        <v>5</v>
      </c>
      <c r="G10" s="5">
        <v>5</v>
      </c>
      <c r="H10" s="5"/>
      <c r="I10" s="5"/>
      <c r="J10" s="5"/>
      <c r="K10" s="5">
        <v>300</v>
      </c>
      <c r="L10" s="8">
        <v>5</v>
      </c>
    </row>
    <row r="11" spans="3:12">
      <c r="C11" s="7" t="s">
        <v>174</v>
      </c>
      <c r="D11" s="5" t="s">
        <v>175</v>
      </c>
      <c r="E11" s="5"/>
      <c r="F11" s="5">
        <f>G11</f>
        <v>20000</v>
      </c>
      <c r="G11" s="5">
        <v>20000</v>
      </c>
      <c r="H11" s="5"/>
      <c r="I11" s="5"/>
      <c r="J11" s="5"/>
      <c r="K11" s="5">
        <v>300</v>
      </c>
      <c r="L11" s="8">
        <f t="shared" ref="L11:L12" si="1">L10+G11-H11</f>
        <v>20005</v>
      </c>
    </row>
    <row r="12" spans="3:12">
      <c r="C12" s="7" t="s">
        <v>174</v>
      </c>
      <c r="D12" s="5"/>
      <c r="E12" s="5"/>
      <c r="F12" s="5"/>
      <c r="G12" s="5">
        <v>0</v>
      </c>
      <c r="H12" s="5">
        <v>352.93</v>
      </c>
      <c r="I12" s="5" t="s">
        <v>146</v>
      </c>
      <c r="J12" s="5"/>
      <c r="K12" s="5">
        <v>300</v>
      </c>
      <c r="L12" s="8">
        <f t="shared" si="1"/>
        <v>19652.07</v>
      </c>
    </row>
    <row r="13" spans="3:12">
      <c r="C13" s="7" t="s">
        <v>176</v>
      </c>
      <c r="D13" s="5"/>
      <c r="E13" s="5"/>
      <c r="F13" s="5"/>
      <c r="G13" s="5">
        <v>0</v>
      </c>
      <c r="H13" s="5">
        <v>1180</v>
      </c>
      <c r="I13" s="5" t="s">
        <v>146</v>
      </c>
      <c r="J13" s="5"/>
      <c r="K13" s="5">
        <v>300</v>
      </c>
      <c r="L13" s="8">
        <f>L12+G13-H13</f>
        <v>18472.07</v>
      </c>
    </row>
    <row r="14" spans="3:12">
      <c r="C14" s="7" t="s">
        <v>177</v>
      </c>
      <c r="D14" s="5"/>
      <c r="E14" s="5"/>
      <c r="F14" s="5"/>
      <c r="G14" s="5">
        <v>0</v>
      </c>
      <c r="H14" s="5">
        <v>5000</v>
      </c>
      <c r="I14" s="5" t="s">
        <v>178</v>
      </c>
      <c r="J14" s="5">
        <v>970</v>
      </c>
      <c r="K14" s="5">
        <f>K13+H14-J14</f>
        <v>4330</v>
      </c>
      <c r="L14" s="8">
        <f t="shared" ref="L14:L30" si="2">L13+G14-H14</f>
        <v>13472.07</v>
      </c>
    </row>
    <row r="15" spans="3:12">
      <c r="C15" s="7" t="s">
        <v>179</v>
      </c>
      <c r="D15" s="5"/>
      <c r="E15" s="5"/>
      <c r="F15" s="5"/>
      <c r="G15" s="5"/>
      <c r="H15" s="5"/>
      <c r="I15" s="5" t="s">
        <v>53</v>
      </c>
      <c r="J15" s="5">
        <v>1120</v>
      </c>
      <c r="K15" s="5">
        <f t="shared" ref="K15:K27" si="3">K14+H15-J15</f>
        <v>3210</v>
      </c>
      <c r="L15" s="8"/>
    </row>
    <row r="16" spans="3:12">
      <c r="C16" s="7" t="s">
        <v>180</v>
      </c>
      <c r="D16" s="5"/>
      <c r="E16" s="5"/>
      <c r="F16" s="5"/>
      <c r="G16" s="5"/>
      <c r="H16" s="5"/>
      <c r="I16" s="5" t="s">
        <v>53</v>
      </c>
      <c r="J16" s="5">
        <v>1210</v>
      </c>
      <c r="K16" s="5">
        <f t="shared" si="3"/>
        <v>2000</v>
      </c>
      <c r="L16" s="8"/>
    </row>
    <row r="17" spans="3:12">
      <c r="C17" s="7" t="s">
        <v>181</v>
      </c>
      <c r="D17" s="5"/>
      <c r="E17" s="5"/>
      <c r="F17" s="5"/>
      <c r="G17" s="5"/>
      <c r="H17" s="5"/>
      <c r="I17" s="5" t="s">
        <v>53</v>
      </c>
      <c r="J17" s="5">
        <v>1130</v>
      </c>
      <c r="K17" s="5">
        <f t="shared" si="3"/>
        <v>870</v>
      </c>
      <c r="L17" s="8"/>
    </row>
    <row r="18" spans="3:12">
      <c r="C18" s="7" t="s">
        <v>182</v>
      </c>
      <c r="D18" s="5"/>
      <c r="E18" s="5"/>
      <c r="F18" s="5"/>
      <c r="G18" s="5"/>
      <c r="H18" s="5"/>
      <c r="I18" s="5" t="s">
        <v>53</v>
      </c>
      <c r="J18" s="5">
        <v>760</v>
      </c>
      <c r="K18" s="5">
        <f t="shared" si="3"/>
        <v>110</v>
      </c>
      <c r="L18" s="8"/>
    </row>
    <row r="19" spans="3:12">
      <c r="C19" s="7" t="s">
        <v>183</v>
      </c>
      <c r="D19" s="5"/>
      <c r="E19" s="5"/>
      <c r="F19" s="5"/>
      <c r="G19" s="5">
        <v>0</v>
      </c>
      <c r="H19" s="5">
        <v>3000</v>
      </c>
      <c r="I19" s="5" t="s">
        <v>184</v>
      </c>
      <c r="J19" s="5">
        <v>1760</v>
      </c>
      <c r="K19" s="5">
        <f t="shared" si="3"/>
        <v>1350</v>
      </c>
      <c r="L19" s="8">
        <f>L14+G19-H19</f>
        <v>10472.07</v>
      </c>
    </row>
    <row r="20" spans="3:12">
      <c r="C20" s="7"/>
      <c r="D20" s="5"/>
      <c r="E20" s="5"/>
      <c r="F20" s="5"/>
      <c r="G20" s="5"/>
      <c r="H20" s="5"/>
      <c r="I20" s="5" t="s">
        <v>53</v>
      </c>
      <c r="J20" s="5">
        <v>970</v>
      </c>
      <c r="K20" s="5">
        <f t="shared" si="3"/>
        <v>380</v>
      </c>
      <c r="L20" s="8"/>
    </row>
    <row r="21" spans="3:12">
      <c r="C21" s="7" t="s">
        <v>185</v>
      </c>
      <c r="D21" s="5" t="s">
        <v>186</v>
      </c>
      <c r="E21" s="5">
        <v>1000</v>
      </c>
      <c r="F21" s="5"/>
      <c r="G21" s="5"/>
      <c r="H21" s="5"/>
      <c r="I21" s="5" t="s">
        <v>153</v>
      </c>
      <c r="J21" s="5">
        <v>540</v>
      </c>
      <c r="K21" s="5">
        <f>K20+H21-J21+E21</f>
        <v>840</v>
      </c>
      <c r="L21" s="8"/>
    </row>
    <row r="22" spans="3:12">
      <c r="C22" s="7" t="s">
        <v>187</v>
      </c>
      <c r="D22" s="5"/>
      <c r="E22" s="5"/>
      <c r="F22" s="5"/>
      <c r="G22" s="5"/>
      <c r="H22" s="5"/>
      <c r="I22" s="5" t="s">
        <v>130</v>
      </c>
      <c r="J22" s="5">
        <v>570</v>
      </c>
      <c r="K22" s="5">
        <f t="shared" si="3"/>
        <v>270</v>
      </c>
      <c r="L22" s="8"/>
    </row>
    <row r="23" spans="3:12">
      <c r="C23" s="7" t="s">
        <v>188</v>
      </c>
      <c r="D23" s="5"/>
      <c r="E23" s="5"/>
      <c r="F23" s="5"/>
      <c r="G23" s="5">
        <v>0</v>
      </c>
      <c r="H23" s="5">
        <v>9000</v>
      </c>
      <c r="I23" s="5" t="s">
        <v>189</v>
      </c>
      <c r="J23" s="5">
        <v>3660</v>
      </c>
      <c r="K23" s="5">
        <f t="shared" si="3"/>
        <v>5610</v>
      </c>
      <c r="L23" s="8">
        <f>L19+G23-H23</f>
        <v>1472.0699999999997</v>
      </c>
    </row>
    <row r="24" spans="3:12">
      <c r="C24" s="7" t="s">
        <v>190</v>
      </c>
      <c r="D24" s="5"/>
      <c r="E24" s="5"/>
      <c r="F24" s="5"/>
      <c r="G24" s="5"/>
      <c r="H24" s="5"/>
      <c r="I24" s="5" t="s">
        <v>191</v>
      </c>
      <c r="J24" s="5">
        <v>2980</v>
      </c>
      <c r="K24" s="5">
        <f t="shared" si="3"/>
        <v>2630</v>
      </c>
      <c r="L24" s="8"/>
    </row>
    <row r="25" spans="3:12">
      <c r="C25" s="7" t="s">
        <v>192</v>
      </c>
      <c r="D25" s="5"/>
      <c r="E25" s="5"/>
      <c r="F25" s="5"/>
      <c r="G25" s="5"/>
      <c r="H25" s="5"/>
      <c r="I25" s="5" t="s">
        <v>193</v>
      </c>
      <c r="J25" s="5">
        <v>1480</v>
      </c>
      <c r="K25" s="5">
        <f t="shared" si="3"/>
        <v>1150</v>
      </c>
      <c r="L25" s="8"/>
    </row>
    <row r="26" spans="3:12">
      <c r="C26" s="7" t="s">
        <v>194</v>
      </c>
      <c r="D26" s="5"/>
      <c r="E26" s="5"/>
      <c r="F26" s="5"/>
      <c r="G26" s="5"/>
      <c r="H26" s="5"/>
      <c r="I26" s="5" t="s">
        <v>195</v>
      </c>
      <c r="J26" s="5">
        <v>760</v>
      </c>
      <c r="K26" s="5">
        <f t="shared" si="3"/>
        <v>390</v>
      </c>
      <c r="L26" s="8"/>
    </row>
    <row r="27" spans="3:12">
      <c r="C27" s="7" t="s">
        <v>196</v>
      </c>
      <c r="D27" s="5"/>
      <c r="E27" s="5"/>
      <c r="F27" s="5"/>
      <c r="G27" s="5"/>
      <c r="H27" s="5"/>
      <c r="I27" s="5" t="s">
        <v>133</v>
      </c>
      <c r="J27" s="5">
        <v>270</v>
      </c>
      <c r="K27" s="5">
        <f t="shared" si="3"/>
        <v>120</v>
      </c>
      <c r="L27" s="8"/>
    </row>
    <row r="28" spans="3:12">
      <c r="C28" s="7" t="s">
        <v>196</v>
      </c>
      <c r="D28" s="5"/>
      <c r="E28" s="5"/>
      <c r="F28" s="5"/>
      <c r="G28" s="5">
        <v>0</v>
      </c>
      <c r="H28" s="5">
        <v>590</v>
      </c>
      <c r="I28" s="5" t="s">
        <v>146</v>
      </c>
      <c r="J28" s="5"/>
      <c r="K28" s="5">
        <v>120</v>
      </c>
      <c r="L28" s="8">
        <f>L23+G28-H28</f>
        <v>882.06999999999971</v>
      </c>
    </row>
    <row r="29" spans="3:12">
      <c r="C29" s="7" t="s">
        <v>197</v>
      </c>
      <c r="D29" s="5"/>
      <c r="E29" s="5"/>
      <c r="F29" s="5"/>
      <c r="G29" s="5">
        <v>0</v>
      </c>
      <c r="H29" s="5">
        <v>590</v>
      </c>
      <c r="I29" s="5" t="s">
        <v>146</v>
      </c>
      <c r="J29" s="5"/>
      <c r="K29" s="5">
        <v>120</v>
      </c>
      <c r="L29" s="8">
        <f t="shared" si="2"/>
        <v>292.06999999999971</v>
      </c>
    </row>
    <row r="30" spans="3:12">
      <c r="C30" s="7" t="s">
        <v>198</v>
      </c>
      <c r="D30" s="5"/>
      <c r="E30" s="5"/>
      <c r="F30" s="5"/>
      <c r="G30" s="5">
        <v>0</v>
      </c>
      <c r="H30" s="5">
        <v>292.07</v>
      </c>
      <c r="I30" s="5" t="s">
        <v>146</v>
      </c>
      <c r="J30" s="5"/>
      <c r="K30" s="5">
        <v>120</v>
      </c>
      <c r="L30" s="8">
        <f t="shared" si="2"/>
        <v>0</v>
      </c>
    </row>
  </sheetData>
  <mergeCells count="9">
    <mergeCell ref="C3:L3"/>
    <mergeCell ref="C4:C5"/>
    <mergeCell ref="D4:D5"/>
    <mergeCell ref="E4:E5"/>
    <mergeCell ref="F4:F5"/>
    <mergeCell ref="G4:G5"/>
    <mergeCell ref="H4:H5"/>
    <mergeCell ref="I4:J4"/>
    <mergeCell ref="K4:L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D4:M20"/>
  <sheetViews>
    <sheetView workbookViewId="0">
      <selection activeCell="G24" sqref="G24"/>
    </sheetView>
  </sheetViews>
  <sheetFormatPr defaultRowHeight="15"/>
  <cols>
    <col min="5" max="5" width="19.140625" customWidth="1"/>
  </cols>
  <sheetData>
    <row r="4" spans="4:13" ht="15.75" thickBot="1"/>
    <row r="5" spans="4:13">
      <c r="D5" s="85" t="s">
        <v>169</v>
      </c>
      <c r="E5" s="86"/>
      <c r="F5" s="86"/>
      <c r="G5" s="86"/>
      <c r="H5" s="86"/>
      <c r="I5" s="86"/>
      <c r="J5" s="86"/>
      <c r="K5" s="86"/>
      <c r="L5" s="86"/>
      <c r="M5" s="87"/>
    </row>
    <row r="6" spans="4:13" ht="15.75">
      <c r="D6" s="96" t="s">
        <v>0</v>
      </c>
      <c r="E6" s="94" t="s">
        <v>121</v>
      </c>
      <c r="F6" s="94" t="s">
        <v>2</v>
      </c>
      <c r="G6" s="99" t="s">
        <v>3</v>
      </c>
      <c r="H6" s="94" t="s">
        <v>4</v>
      </c>
      <c r="I6" s="94" t="s">
        <v>5</v>
      </c>
      <c r="J6" s="94" t="s">
        <v>6</v>
      </c>
      <c r="K6" s="94"/>
      <c r="L6" s="94" t="s">
        <v>7</v>
      </c>
      <c r="M6" s="95"/>
    </row>
    <row r="7" spans="4:13" ht="32.25" thickBot="1">
      <c r="D7" s="142"/>
      <c r="E7" s="143"/>
      <c r="F7" s="143"/>
      <c r="G7" s="144"/>
      <c r="H7" s="143"/>
      <c r="I7" s="143"/>
      <c r="J7" s="145" t="s">
        <v>8</v>
      </c>
      <c r="K7" s="146" t="s">
        <v>9</v>
      </c>
      <c r="L7" s="145" t="s">
        <v>10</v>
      </c>
      <c r="M7" s="147" t="s">
        <v>11</v>
      </c>
    </row>
    <row r="8" spans="4:13">
      <c r="D8" s="148"/>
      <c r="E8" s="149"/>
      <c r="F8" s="149"/>
      <c r="G8" s="149"/>
      <c r="H8" s="149"/>
      <c r="I8" s="149"/>
      <c r="J8" s="149"/>
      <c r="K8" s="149"/>
      <c r="L8" s="149">
        <f>'24-25'!K30</f>
        <v>120</v>
      </c>
      <c r="M8" s="150">
        <f>'[1]24-25'!L32</f>
        <v>0</v>
      </c>
    </row>
    <row r="9" spans="4:13">
      <c r="D9" s="7" t="s">
        <v>199</v>
      </c>
      <c r="E9" s="5" t="s">
        <v>27</v>
      </c>
      <c r="F9" s="5">
        <v>1000</v>
      </c>
      <c r="G9" s="5"/>
      <c r="H9" s="5"/>
      <c r="I9" s="5"/>
      <c r="J9" s="5" t="s">
        <v>15</v>
      </c>
      <c r="K9" s="5">
        <v>380</v>
      </c>
      <c r="L9" s="5">
        <f>L8+F9-K9</f>
        <v>740</v>
      </c>
      <c r="M9" s="8">
        <v>0</v>
      </c>
    </row>
    <row r="10" spans="4:13">
      <c r="D10" s="7" t="s">
        <v>200</v>
      </c>
      <c r="E10" s="5" t="s">
        <v>14</v>
      </c>
      <c r="F10" s="5">
        <v>1100</v>
      </c>
      <c r="G10" s="5"/>
      <c r="H10" s="5"/>
      <c r="I10" s="5"/>
      <c r="J10" s="5" t="s">
        <v>201</v>
      </c>
      <c r="K10" s="5">
        <v>1270</v>
      </c>
      <c r="L10" s="5">
        <f>L9+F10-K10</f>
        <v>570</v>
      </c>
      <c r="M10" s="8">
        <v>0</v>
      </c>
    </row>
    <row r="11" spans="4:13">
      <c r="D11" s="7" t="s">
        <v>202</v>
      </c>
      <c r="E11" s="5"/>
      <c r="F11" s="5"/>
      <c r="G11" s="5"/>
      <c r="H11" s="5"/>
      <c r="I11" s="5"/>
      <c r="J11" s="5" t="s">
        <v>128</v>
      </c>
      <c r="K11" s="5">
        <v>210</v>
      </c>
      <c r="L11" s="5">
        <f t="shared" ref="L11:L14" si="0">L10+F11-K11</f>
        <v>360</v>
      </c>
      <c r="M11" s="8">
        <v>0</v>
      </c>
    </row>
    <row r="12" spans="4:13">
      <c r="D12" s="7" t="s">
        <v>203</v>
      </c>
      <c r="E12" s="5" t="s">
        <v>166</v>
      </c>
      <c r="F12" s="5">
        <v>1000</v>
      </c>
      <c r="G12" s="5"/>
      <c r="H12" s="5"/>
      <c r="I12" s="5"/>
      <c r="J12" s="5" t="s">
        <v>130</v>
      </c>
      <c r="K12" s="5">
        <v>370</v>
      </c>
      <c r="L12" s="5">
        <f t="shared" si="0"/>
        <v>990</v>
      </c>
      <c r="M12" s="8">
        <v>0</v>
      </c>
    </row>
    <row r="13" spans="4:13">
      <c r="D13" s="151" t="s">
        <v>204</v>
      </c>
      <c r="E13" s="140"/>
      <c r="F13" s="140"/>
      <c r="G13" s="140"/>
      <c r="H13" s="140"/>
      <c r="I13" s="140"/>
      <c r="J13" s="140" t="s">
        <v>205</v>
      </c>
      <c r="K13" s="140">
        <v>280</v>
      </c>
      <c r="L13" s="5">
        <f t="shared" si="0"/>
        <v>710</v>
      </c>
      <c r="M13" s="8">
        <v>0</v>
      </c>
    </row>
    <row r="14" spans="4:13">
      <c r="D14" s="151" t="s">
        <v>206</v>
      </c>
      <c r="E14" s="140"/>
      <c r="F14" s="140"/>
      <c r="G14" s="140"/>
      <c r="H14" s="140"/>
      <c r="I14" s="140"/>
      <c r="J14" s="140" t="s">
        <v>207</v>
      </c>
      <c r="K14" s="140">
        <v>190</v>
      </c>
      <c r="L14" s="5">
        <f t="shared" si="0"/>
        <v>520</v>
      </c>
      <c r="M14" s="8">
        <v>0</v>
      </c>
    </row>
    <row r="15" spans="4:13">
      <c r="D15" s="151" t="s">
        <v>208</v>
      </c>
      <c r="E15" s="140" t="s">
        <v>209</v>
      </c>
      <c r="F15" s="140">
        <v>6000</v>
      </c>
      <c r="G15" s="140"/>
      <c r="H15" s="140"/>
      <c r="I15" s="140"/>
      <c r="J15" s="5"/>
      <c r="K15" s="5"/>
      <c r="L15" s="140">
        <v>6520</v>
      </c>
      <c r="M15" s="8">
        <v>0</v>
      </c>
    </row>
    <row r="16" spans="4:13">
      <c r="D16" s="151" t="s">
        <v>210</v>
      </c>
      <c r="E16" s="140"/>
      <c r="F16" s="140"/>
      <c r="G16" s="140"/>
      <c r="H16" s="140"/>
      <c r="I16" s="140"/>
      <c r="J16" s="140" t="s">
        <v>211</v>
      </c>
      <c r="K16" s="140">
        <v>5000</v>
      </c>
      <c r="L16" s="140">
        <v>1520</v>
      </c>
      <c r="M16" s="8"/>
    </row>
    <row r="17" spans="4:13" ht="30">
      <c r="D17" s="151" t="s">
        <v>212</v>
      </c>
      <c r="E17" s="141" t="s">
        <v>213</v>
      </c>
      <c r="F17" s="140"/>
      <c r="G17" s="140"/>
      <c r="H17" s="140">
        <v>10000</v>
      </c>
      <c r="I17" s="140"/>
      <c r="J17" s="140"/>
      <c r="K17" s="140"/>
      <c r="L17" s="140">
        <v>1520</v>
      </c>
      <c r="M17" s="152">
        <v>10000</v>
      </c>
    </row>
    <row r="18" spans="4:13">
      <c r="D18" s="151" t="s">
        <v>212</v>
      </c>
      <c r="E18" s="141"/>
      <c r="F18" s="140"/>
      <c r="G18" s="140"/>
      <c r="H18" s="140"/>
      <c r="I18" s="140">
        <v>653</v>
      </c>
      <c r="J18" s="140" t="s">
        <v>80</v>
      </c>
      <c r="K18" s="140"/>
      <c r="L18" s="140">
        <v>1520</v>
      </c>
      <c r="M18" s="152">
        <f t="shared" ref="M18:M20" si="1">M17+H18-I18</f>
        <v>9347</v>
      </c>
    </row>
    <row r="19" spans="4:13">
      <c r="D19" s="151" t="s">
        <v>214</v>
      </c>
      <c r="E19" s="141"/>
      <c r="F19" s="140"/>
      <c r="G19" s="140"/>
      <c r="H19" s="140"/>
      <c r="I19" s="140">
        <v>7080</v>
      </c>
      <c r="J19" s="140" t="s">
        <v>80</v>
      </c>
      <c r="K19" s="140"/>
      <c r="L19" s="140">
        <v>1520</v>
      </c>
      <c r="M19" s="152">
        <f t="shared" si="1"/>
        <v>2267</v>
      </c>
    </row>
    <row r="20" spans="4:13">
      <c r="D20" s="151" t="s">
        <v>215</v>
      </c>
      <c r="E20" s="141"/>
      <c r="F20" s="140"/>
      <c r="G20" s="140"/>
      <c r="H20" s="140"/>
      <c r="I20" s="140">
        <v>590</v>
      </c>
      <c r="J20" s="140" t="s">
        <v>80</v>
      </c>
      <c r="K20" s="140"/>
      <c r="L20" s="140">
        <v>1520</v>
      </c>
      <c r="M20" s="152">
        <f t="shared" si="1"/>
        <v>1677</v>
      </c>
    </row>
  </sheetData>
  <mergeCells count="9">
    <mergeCell ref="D5:M5"/>
    <mergeCell ref="D6:D7"/>
    <mergeCell ref="E6:E7"/>
    <mergeCell ref="F6:F7"/>
    <mergeCell ref="G6:G7"/>
    <mergeCell ref="H6:H7"/>
    <mergeCell ref="I6:I7"/>
    <mergeCell ref="J6:K6"/>
    <mergeCell ref="L6:M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D8:S27"/>
  <sheetViews>
    <sheetView topLeftCell="A8" workbookViewId="0">
      <selection activeCell="O28" sqref="O28"/>
    </sheetView>
  </sheetViews>
  <sheetFormatPr defaultRowHeight="15"/>
  <sheetData>
    <row r="8" spans="4:17" ht="15.75" thickBot="1"/>
    <row r="9" spans="4:17">
      <c r="D9" s="85" t="s">
        <v>169</v>
      </c>
      <c r="E9" s="86"/>
      <c r="F9" s="86"/>
      <c r="G9" s="86"/>
      <c r="H9" s="86"/>
      <c r="I9" s="86"/>
      <c r="J9" s="86"/>
      <c r="K9" s="86"/>
      <c r="L9" s="86"/>
      <c r="M9" s="87"/>
    </row>
    <row r="10" spans="4:17" ht="15.75">
      <c r="D10" s="96" t="s">
        <v>0</v>
      </c>
      <c r="E10" s="94" t="s">
        <v>121</v>
      </c>
      <c r="F10" s="94" t="s">
        <v>2</v>
      </c>
      <c r="G10" s="99" t="s">
        <v>3</v>
      </c>
      <c r="H10" s="94" t="s">
        <v>4</v>
      </c>
      <c r="I10" s="94" t="s">
        <v>5</v>
      </c>
      <c r="J10" s="94" t="s">
        <v>6</v>
      </c>
      <c r="K10" s="94"/>
      <c r="L10" s="94" t="s">
        <v>7</v>
      </c>
      <c r="M10" s="95"/>
    </row>
    <row r="11" spans="4:17" ht="32.25" thickBot="1">
      <c r="D11" s="97"/>
      <c r="E11" s="98"/>
      <c r="F11" s="98"/>
      <c r="G11" s="100"/>
      <c r="H11" s="98"/>
      <c r="I11" s="98"/>
      <c r="J11" s="31" t="s">
        <v>8</v>
      </c>
      <c r="K11" s="32" t="s">
        <v>9</v>
      </c>
      <c r="L11" s="31" t="s">
        <v>10</v>
      </c>
      <c r="M11" s="33" t="s">
        <v>11</v>
      </c>
    </row>
    <row r="12" spans="4:17">
      <c r="D12" s="101" t="s">
        <v>12</v>
      </c>
      <c r="E12" s="102"/>
      <c r="F12" s="102"/>
      <c r="G12" s="102"/>
      <c r="H12" s="102"/>
      <c r="I12" s="102"/>
      <c r="J12" s="102"/>
      <c r="K12" s="102"/>
      <c r="L12" s="1">
        <f>'25-26'!L20</f>
        <v>1520</v>
      </c>
      <c r="M12" s="2">
        <f>'25-26'!M20</f>
        <v>1677</v>
      </c>
    </row>
    <row r="13" spans="4:17" ht="30">
      <c r="D13" s="7" t="s">
        <v>216</v>
      </c>
      <c r="E13" s="9"/>
      <c r="F13" s="5">
        <v>1000</v>
      </c>
      <c r="G13" s="5"/>
      <c r="H13" s="5"/>
      <c r="I13" s="5"/>
      <c r="J13" s="9" t="s">
        <v>207</v>
      </c>
      <c r="K13" s="5">
        <v>1110</v>
      </c>
      <c r="L13" s="4">
        <f>L12+F13-K13</f>
        <v>1410</v>
      </c>
      <c r="M13" s="8">
        <f>M12+H13</f>
        <v>1677</v>
      </c>
    </row>
    <row r="14" spans="4:17">
      <c r="D14" s="7" t="s">
        <v>216</v>
      </c>
      <c r="E14" s="9"/>
      <c r="F14" s="5">
        <v>4000</v>
      </c>
      <c r="G14" s="5"/>
      <c r="H14" s="5"/>
      <c r="I14" s="5"/>
      <c r="J14" s="9"/>
      <c r="K14" s="5"/>
      <c r="L14" s="4">
        <v>5410</v>
      </c>
      <c r="M14" s="8">
        <v>1677</v>
      </c>
      <c r="Q14" t="s">
        <v>121</v>
      </c>
    </row>
    <row r="15" spans="4:17">
      <c r="D15" s="7" t="s">
        <v>216</v>
      </c>
      <c r="E15" s="9"/>
      <c r="F15" s="5">
        <v>4000</v>
      </c>
      <c r="G15" s="5"/>
      <c r="H15" s="5"/>
      <c r="I15" s="5"/>
      <c r="J15" s="9"/>
      <c r="K15" s="5"/>
      <c r="L15" s="4">
        <f>L14+F14</f>
        <v>9410</v>
      </c>
      <c r="M15" s="8">
        <v>1677</v>
      </c>
    </row>
    <row r="16" spans="4:17">
      <c r="D16" s="7" t="s">
        <v>216</v>
      </c>
      <c r="E16" s="9"/>
      <c r="F16" s="5">
        <v>4000</v>
      </c>
      <c r="G16" s="5"/>
      <c r="H16" s="5"/>
      <c r="I16" s="5"/>
      <c r="J16" s="9"/>
      <c r="K16" s="5"/>
      <c r="L16" s="4">
        <f t="shared" ref="L16:L20" si="0">L15+F15</f>
        <v>13410</v>
      </c>
      <c r="M16" s="8">
        <v>1677</v>
      </c>
    </row>
    <row r="17" spans="4:19">
      <c r="D17" s="7" t="s">
        <v>216</v>
      </c>
      <c r="E17" s="9" t="s">
        <v>57</v>
      </c>
      <c r="F17" s="5">
        <v>1000</v>
      </c>
      <c r="G17" s="5"/>
      <c r="H17" s="5"/>
      <c r="I17" s="5"/>
      <c r="J17" s="9"/>
      <c r="K17" s="5"/>
      <c r="L17" s="4">
        <f t="shared" si="0"/>
        <v>17410</v>
      </c>
      <c r="M17" s="8">
        <v>1677</v>
      </c>
    </row>
    <row r="18" spans="4:19">
      <c r="D18" s="7" t="s">
        <v>251</v>
      </c>
      <c r="E18" s="9" t="s">
        <v>57</v>
      </c>
      <c r="F18" s="5">
        <v>4000</v>
      </c>
      <c r="G18" s="5"/>
      <c r="H18" s="5"/>
      <c r="I18" s="5"/>
      <c r="J18" s="9"/>
      <c r="K18" s="5"/>
      <c r="L18" s="4">
        <f t="shared" si="0"/>
        <v>18410</v>
      </c>
      <c r="M18" s="8">
        <v>1677</v>
      </c>
    </row>
    <row r="19" spans="4:19">
      <c r="D19" s="7" t="s">
        <v>251</v>
      </c>
      <c r="E19" s="9" t="s">
        <v>57</v>
      </c>
      <c r="F19" s="5">
        <v>5000</v>
      </c>
      <c r="G19" s="5"/>
      <c r="H19" s="5"/>
      <c r="I19" s="5"/>
      <c r="J19" s="9"/>
      <c r="K19" s="5"/>
      <c r="L19" s="4">
        <f t="shared" si="0"/>
        <v>22410</v>
      </c>
      <c r="M19" s="8">
        <v>1677</v>
      </c>
    </row>
    <row r="20" spans="4:19">
      <c r="D20" s="7" t="s">
        <v>252</v>
      </c>
      <c r="E20" s="9" t="s">
        <v>57</v>
      </c>
      <c r="F20" s="5">
        <v>3000</v>
      </c>
      <c r="G20" s="5"/>
      <c r="H20" s="5"/>
      <c r="I20" s="5"/>
      <c r="J20" s="9"/>
      <c r="K20" s="5"/>
      <c r="L20" s="4">
        <f t="shared" si="0"/>
        <v>27410</v>
      </c>
      <c r="M20" s="8">
        <v>1677</v>
      </c>
    </row>
    <row r="21" spans="4:19">
      <c r="D21" s="7" t="s">
        <v>217</v>
      </c>
      <c r="E21" s="51"/>
      <c r="F21" s="5"/>
      <c r="G21" s="5"/>
      <c r="H21" s="5">
        <v>25000</v>
      </c>
      <c r="I21" s="5"/>
      <c r="J21" s="9"/>
      <c r="K21" s="5"/>
      <c r="L21" s="4">
        <f>L20-H21</f>
        <v>2410</v>
      </c>
      <c r="M21" s="8">
        <f>M13+H21</f>
        <v>26677</v>
      </c>
      <c r="S21" t="s">
        <v>121</v>
      </c>
    </row>
    <row r="22" spans="4:19" ht="30">
      <c r="D22" s="7" t="s">
        <v>253</v>
      </c>
      <c r="E22" s="51"/>
      <c r="F22" s="5"/>
      <c r="G22" s="5"/>
      <c r="H22" s="5"/>
      <c r="I22" s="5"/>
      <c r="J22" s="9" t="s">
        <v>15</v>
      </c>
      <c r="K22" s="5">
        <v>310</v>
      </c>
      <c r="L22" s="4">
        <f>L21-K22</f>
        <v>2100</v>
      </c>
      <c r="M22" s="8"/>
    </row>
    <row r="23" spans="4:19" ht="30">
      <c r="D23" s="7" t="s">
        <v>254</v>
      </c>
      <c r="E23" s="51"/>
      <c r="F23" s="5"/>
      <c r="G23" s="5"/>
      <c r="H23" s="5"/>
      <c r="I23" s="5"/>
      <c r="J23" s="9" t="s">
        <v>173</v>
      </c>
      <c r="K23" s="5">
        <v>1160</v>
      </c>
      <c r="L23" s="4">
        <f>L22-K23</f>
        <v>940</v>
      </c>
      <c r="M23" s="8"/>
      <c r="Q23" t="s">
        <v>121</v>
      </c>
    </row>
    <row r="24" spans="4:19">
      <c r="D24" s="7" t="s">
        <v>256</v>
      </c>
      <c r="E24" s="51"/>
      <c r="F24" s="5">
        <v>1000</v>
      </c>
      <c r="G24" s="5"/>
      <c r="H24" s="5"/>
      <c r="I24" s="5"/>
      <c r="J24" s="9"/>
      <c r="K24" s="5"/>
      <c r="L24" s="4">
        <v>1940</v>
      </c>
      <c r="M24" s="8"/>
    </row>
    <row r="25" spans="4:19">
      <c r="D25" s="7" t="s">
        <v>218</v>
      </c>
      <c r="E25" s="9"/>
      <c r="F25" s="5"/>
      <c r="G25" s="5">
        <f>H25</f>
        <v>95.95</v>
      </c>
      <c r="H25" s="5">
        <v>95.95</v>
      </c>
      <c r="I25" s="5"/>
      <c r="J25" s="9"/>
      <c r="K25" s="5"/>
      <c r="L25" s="4">
        <v>1940</v>
      </c>
      <c r="M25" s="8">
        <f>M21+H25</f>
        <v>26772.95</v>
      </c>
    </row>
    <row r="26" spans="4:19">
      <c r="D26" s="7" t="s">
        <v>219</v>
      </c>
      <c r="E26" s="9"/>
      <c r="F26" s="5"/>
      <c r="G26" s="5">
        <f t="shared" ref="G26:G27" si="1">H26</f>
        <v>95.95</v>
      </c>
      <c r="H26" s="5">
        <v>95.95</v>
      </c>
      <c r="I26" s="5"/>
      <c r="J26" s="9"/>
      <c r="K26" s="5"/>
      <c r="L26" s="4">
        <v>1940</v>
      </c>
      <c r="M26" s="8">
        <f t="shared" ref="M26:M27" si="2">M25+H26</f>
        <v>26868.9</v>
      </c>
      <c r="P26" t="s">
        <v>121</v>
      </c>
    </row>
    <row r="27" spans="4:19" ht="15.75" thickBot="1">
      <c r="D27" s="137" t="s">
        <v>220</v>
      </c>
      <c r="E27" s="153" t="s">
        <v>57</v>
      </c>
      <c r="F27" s="138"/>
      <c r="G27" s="138">
        <f t="shared" si="1"/>
        <v>6000</v>
      </c>
      <c r="H27" s="138">
        <v>6000</v>
      </c>
      <c r="I27" s="138"/>
      <c r="J27" s="153" t="s">
        <v>255</v>
      </c>
      <c r="K27" s="138">
        <v>1000</v>
      </c>
      <c r="L27" s="154">
        <v>940</v>
      </c>
      <c r="M27" s="139">
        <f t="shared" si="2"/>
        <v>32868.9</v>
      </c>
    </row>
  </sheetData>
  <mergeCells count="10">
    <mergeCell ref="D12:K12"/>
    <mergeCell ref="D9:M9"/>
    <mergeCell ref="D10:D11"/>
    <mergeCell ref="E10:E11"/>
    <mergeCell ref="F10:F11"/>
    <mergeCell ref="G10:G11"/>
    <mergeCell ref="H10:H11"/>
    <mergeCell ref="I10:I11"/>
    <mergeCell ref="J10:K10"/>
    <mergeCell ref="L10:M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F2:M11"/>
  <sheetViews>
    <sheetView tabSelected="1" workbookViewId="0">
      <selection activeCell="O18" sqref="O18"/>
    </sheetView>
  </sheetViews>
  <sheetFormatPr defaultRowHeight="15"/>
  <cols>
    <col min="7" max="7" width="10.42578125" customWidth="1"/>
    <col min="8" max="8" width="8.85546875" customWidth="1"/>
    <col min="9" max="9" width="9.7109375" customWidth="1"/>
    <col min="10" max="10" width="13.28515625" customWidth="1"/>
    <col min="11" max="11" width="10.7109375" customWidth="1"/>
  </cols>
  <sheetData>
    <row r="2" spans="6:13">
      <c r="F2" s="103" t="s">
        <v>271</v>
      </c>
      <c r="G2" s="103"/>
      <c r="H2" s="103"/>
      <c r="I2" s="103"/>
      <c r="J2" s="103"/>
      <c r="K2" s="103"/>
      <c r="L2" s="103"/>
      <c r="M2" s="103"/>
    </row>
    <row r="3" spans="6:13" s="53" customFormat="1" ht="33" customHeight="1">
      <c r="F3" s="52" t="s">
        <v>0</v>
      </c>
      <c r="G3" s="52" t="s">
        <v>257</v>
      </c>
      <c r="H3" s="52" t="s">
        <v>258</v>
      </c>
      <c r="I3" s="52" t="s">
        <v>259</v>
      </c>
      <c r="J3" s="52" t="s">
        <v>6</v>
      </c>
      <c r="K3" s="52" t="s">
        <v>269</v>
      </c>
      <c r="L3" s="52" t="s">
        <v>270</v>
      </c>
      <c r="M3" s="52" t="s">
        <v>260</v>
      </c>
    </row>
    <row r="4" spans="6:13">
      <c r="F4" s="54" t="s">
        <v>261</v>
      </c>
      <c r="G4" s="54">
        <v>1100</v>
      </c>
      <c r="H4" s="54">
        <v>1100</v>
      </c>
      <c r="I4" s="54">
        <v>0</v>
      </c>
      <c r="J4" s="54">
        <v>0</v>
      </c>
      <c r="K4" s="54"/>
      <c r="L4" s="54"/>
      <c r="M4" s="54">
        <v>0</v>
      </c>
    </row>
    <row r="5" spans="6:13">
      <c r="F5" s="54" t="s">
        <v>262</v>
      </c>
      <c r="G5" s="54">
        <v>11800</v>
      </c>
      <c r="H5" s="54">
        <v>140</v>
      </c>
      <c r="I5" s="54">
        <v>0</v>
      </c>
      <c r="J5" s="54">
        <v>11660</v>
      </c>
      <c r="K5" s="54"/>
      <c r="L5" s="54"/>
      <c r="M5" s="54">
        <v>0</v>
      </c>
    </row>
    <row r="6" spans="6:13">
      <c r="F6" s="54" t="s">
        <v>263</v>
      </c>
      <c r="G6" s="54">
        <v>14285</v>
      </c>
      <c r="H6" s="54">
        <v>460</v>
      </c>
      <c r="I6" s="54">
        <v>11143</v>
      </c>
      <c r="J6" s="54">
        <v>2821</v>
      </c>
      <c r="K6" s="54">
        <v>11000</v>
      </c>
      <c r="L6" s="54"/>
      <c r="M6" s="54">
        <v>11000</v>
      </c>
    </row>
    <row r="7" spans="6:13">
      <c r="F7" s="54" t="s">
        <v>264</v>
      </c>
      <c r="G7" s="54">
        <v>14200</v>
      </c>
      <c r="H7" s="54">
        <v>1350</v>
      </c>
      <c r="I7" s="54">
        <v>16494</v>
      </c>
      <c r="J7" s="54">
        <v>7959</v>
      </c>
      <c r="K7" s="54">
        <v>5000</v>
      </c>
      <c r="L7" s="54">
        <v>5000</v>
      </c>
      <c r="M7" s="54">
        <v>11000</v>
      </c>
    </row>
    <row r="8" spans="6:13">
      <c r="F8" s="54" t="s">
        <v>265</v>
      </c>
      <c r="G8" s="54">
        <v>57681</v>
      </c>
      <c r="H8" s="54">
        <v>2570</v>
      </c>
      <c r="I8" s="54">
        <v>4026</v>
      </c>
      <c r="J8" s="54">
        <v>69160</v>
      </c>
      <c r="K8" s="54">
        <v>33800</v>
      </c>
      <c r="L8" s="54">
        <v>38800</v>
      </c>
      <c r="M8" s="54">
        <v>6000</v>
      </c>
    </row>
    <row r="9" spans="6:13">
      <c r="F9" s="54" t="s">
        <v>266</v>
      </c>
      <c r="G9" s="54">
        <v>25100</v>
      </c>
      <c r="H9" s="54">
        <v>470</v>
      </c>
      <c r="I9" s="54">
        <v>0</v>
      </c>
      <c r="J9" s="54">
        <v>26700</v>
      </c>
      <c r="K9" s="54">
        <v>20000</v>
      </c>
      <c r="L9" s="54">
        <v>20000</v>
      </c>
      <c r="M9" s="54">
        <v>6000</v>
      </c>
    </row>
    <row r="10" spans="6:13">
      <c r="F10" s="54" t="s">
        <v>267</v>
      </c>
      <c r="G10" s="54">
        <v>23605</v>
      </c>
      <c r="H10" s="54">
        <v>120</v>
      </c>
      <c r="I10" s="54">
        <v>0</v>
      </c>
      <c r="J10" s="54">
        <v>20950</v>
      </c>
      <c r="K10" s="54">
        <v>0</v>
      </c>
      <c r="L10" s="54">
        <v>0</v>
      </c>
      <c r="M10" s="54">
        <v>6000</v>
      </c>
    </row>
    <row r="11" spans="6:13">
      <c r="F11" s="54" t="s">
        <v>268</v>
      </c>
      <c r="G11" s="54">
        <v>9100</v>
      </c>
      <c r="H11" s="54">
        <v>1520</v>
      </c>
      <c r="I11" s="54">
        <v>1677</v>
      </c>
      <c r="J11" s="54">
        <v>7700</v>
      </c>
      <c r="K11" s="54">
        <v>10000</v>
      </c>
      <c r="L11" s="54">
        <v>0</v>
      </c>
      <c r="M11" s="54">
        <v>16000</v>
      </c>
    </row>
  </sheetData>
  <mergeCells count="1">
    <mergeCell ref="F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19-20</vt:lpstr>
      <vt:lpstr>20-21</vt:lpstr>
      <vt:lpstr>21-22</vt:lpstr>
      <vt:lpstr>22-23</vt:lpstr>
      <vt:lpstr>23-24</vt:lpstr>
      <vt:lpstr>24-25</vt:lpstr>
      <vt:lpstr>25-26</vt:lpstr>
      <vt:lpstr>26-27</vt:lpstr>
      <vt:lpstr>State of account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2026-08-01T04:53:00Z</dcterms:modified>
</cp:coreProperties>
</file>